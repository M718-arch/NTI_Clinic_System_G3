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D:\Users\Islam\Desktop\NU 2021-2022\Grad 1 2023\2027\"/>
    </mc:Choice>
  </mc:AlternateContent>
  <xr:revisionPtr revIDLastSave="0" documentId="8_{91E7D56F-9BB8-46F6-8374-47A1B8286368}" xr6:coauthVersionLast="47" xr6:coauthVersionMax="47" xr10:uidLastSave="{00000000-0000-0000-0000-000000000000}"/>
  <bookViews>
    <workbookView xWindow="0" yWindow="0" windowWidth="23040" windowHeight="9336" xr2:uid="{00000000-000D-0000-FFFF-FFFF00000000}"/>
  </bookViews>
  <sheets>
    <sheet name="ALL Projects" sheetId="8" r:id="rId1"/>
    <sheet name="Sheet1" sheetId="15" state="hidden" r:id="rId2"/>
    <sheet name="Sheet2" sheetId="16" state="hidden" r:id="rId3"/>
    <sheet name="Sheet3" sheetId="18" state="hidden" r:id="rId4"/>
    <sheet name="Sheet4" sheetId="19" state="hidden" r:id="rId5"/>
  </sheets>
  <definedNames>
    <definedName name="_xlnm._FilterDatabase" localSheetId="0" hidden="1">'ALL Projects'!$F$1:$F$1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9" l="1"/>
  <c r="G6" i="19"/>
  <c r="G11" i="19"/>
  <c r="G52" i="19"/>
  <c r="G53" i="19"/>
  <c r="G54" i="19"/>
  <c r="G55" i="19"/>
  <c r="G56" i="19"/>
  <c r="G57" i="19"/>
  <c r="G58" i="19"/>
  <c r="G59" i="19"/>
  <c r="G60" i="19"/>
  <c r="G61" i="19"/>
  <c r="G62" i="19"/>
  <c r="G63" i="19"/>
  <c r="G64" i="19"/>
  <c r="G92" i="19"/>
  <c r="G97" i="19"/>
  <c r="G108" i="19"/>
  <c r="G112" i="19"/>
  <c r="G116" i="19"/>
  <c r="G147" i="19"/>
  <c r="G179" i="19"/>
  <c r="G212" i="19"/>
  <c r="G217" i="19"/>
  <c r="G243" i="19"/>
  <c r="G254" i="19"/>
  <c r="G257" i="19"/>
  <c r="G275" i="19"/>
  <c r="G347" i="19"/>
  <c r="G348" i="19"/>
  <c r="G349" i="19"/>
  <c r="G350" i="19"/>
  <c r="G351" i="19"/>
  <c r="G352" i="19"/>
  <c r="G353" i="19"/>
  <c r="G354" i="19"/>
  <c r="G355" i="19"/>
  <c r="G356" i="19"/>
  <c r="G357" i="19"/>
  <c r="G358" i="19"/>
  <c r="G359" i="19"/>
  <c r="G360" i="19"/>
  <c r="G111" i="19"/>
  <c r="G83" i="19"/>
  <c r="G95" i="19"/>
  <c r="G241" i="19"/>
  <c r="G24" i="19"/>
  <c r="G23" i="19"/>
  <c r="G39" i="19"/>
  <c r="G36" i="19"/>
  <c r="G297" i="19"/>
  <c r="G237" i="19"/>
  <c r="G270" i="19"/>
  <c r="G66" i="19"/>
  <c r="J2" i="18" l="1"/>
  <c r="G245" i="19"/>
  <c r="G151" i="19"/>
  <c r="G84" i="19"/>
  <c r="G227" i="19"/>
  <c r="G203" i="19"/>
  <c r="G276" i="19"/>
  <c r="G94" i="19"/>
  <c r="G196" i="19"/>
  <c r="G109" i="19"/>
  <c r="G132" i="19"/>
  <c r="G205" i="19"/>
  <c r="G103" i="19"/>
  <c r="G197" i="19"/>
  <c r="G264" i="19"/>
  <c r="G102" i="19"/>
  <c r="G235" i="19"/>
  <c r="G224" i="19"/>
  <c r="G168" i="19"/>
  <c r="G99" i="19"/>
  <c r="G156" i="19"/>
  <c r="G301" i="19"/>
  <c r="G175" i="19"/>
  <c r="G188" i="19"/>
  <c r="G182" i="19"/>
  <c r="G258" i="19"/>
  <c r="J275" i="18"/>
  <c r="G10" i="19"/>
  <c r="G17" i="19"/>
  <c r="G33" i="19"/>
  <c r="G47" i="19"/>
  <c r="G9" i="19"/>
  <c r="G263" i="19"/>
  <c r="G303" i="19"/>
  <c r="G19" i="19"/>
  <c r="G136" i="19"/>
  <c r="G129" i="19"/>
  <c r="G91" i="19"/>
  <c r="G67" i="19"/>
  <c r="G277" i="19"/>
  <c r="G127" i="19"/>
  <c r="G307" i="19"/>
  <c r="G153" i="19"/>
  <c r="G98" i="19"/>
  <c r="G81" i="19"/>
  <c r="G86" i="19"/>
  <c r="G79" i="19"/>
  <c r="G90" i="19"/>
  <c r="G73" i="19"/>
  <c r="G80" i="19"/>
  <c r="G68" i="19"/>
  <c r="G211" i="19"/>
  <c r="G140" i="19"/>
  <c r="G148" i="19"/>
  <c r="G71" i="19"/>
  <c r="G110" i="19"/>
  <c r="G181" i="19"/>
  <c r="G185" i="19"/>
  <c r="G100" i="19"/>
  <c r="G239" i="19"/>
  <c r="G288" i="19"/>
  <c r="G291" i="19"/>
  <c r="G267" i="19"/>
  <c r="G104" i="19"/>
  <c r="G250" i="19"/>
  <c r="G171" i="19"/>
  <c r="G286" i="19"/>
  <c r="G283" i="19"/>
  <c r="G306" i="19"/>
  <c r="G265" i="19"/>
  <c r="G293" i="19"/>
  <c r="G142" i="19"/>
  <c r="G280" i="19"/>
  <c r="G123" i="19"/>
  <c r="G162" i="19"/>
  <c r="G228" i="19"/>
  <c r="G85" i="19"/>
  <c r="G82" i="19"/>
  <c r="G76" i="19"/>
  <c r="G89" i="19"/>
  <c r="G146" i="19"/>
  <c r="G122" i="19"/>
  <c r="G218" i="19"/>
  <c r="G101" i="19"/>
  <c r="G289" i="19"/>
  <c r="G226" i="19"/>
  <c r="G78" i="19"/>
  <c r="G192" i="19"/>
  <c r="G34" i="19"/>
  <c r="G115" i="19"/>
  <c r="G88" i="19"/>
  <c r="G279" i="19"/>
  <c r="G154" i="19"/>
  <c r="G49" i="19"/>
  <c r="G149" i="19"/>
  <c r="G69" i="19"/>
  <c r="G72" i="19"/>
  <c r="G167" i="19"/>
  <c r="G292" i="19"/>
  <c r="G32" i="19"/>
  <c r="G43" i="19"/>
  <c r="G37" i="19"/>
  <c r="G290" i="19"/>
  <c r="G314" i="19"/>
  <c r="G26" i="19"/>
  <c r="G285" i="19"/>
  <c r="G225" i="19"/>
  <c r="G231" i="19"/>
  <c r="G45" i="19"/>
  <c r="G164" i="19"/>
  <c r="G287" i="19"/>
  <c r="G87" i="19"/>
  <c r="G222" i="19"/>
  <c r="G256" i="19"/>
  <c r="G74" i="19"/>
  <c r="G77" i="19"/>
  <c r="G70" i="19"/>
  <c r="G124" i="19"/>
  <c r="G158" i="19"/>
  <c r="G141" i="19"/>
  <c r="G281" i="19"/>
  <c r="G190" i="19"/>
  <c r="G248" i="19"/>
  <c r="G139" i="19"/>
  <c r="G278" i="19"/>
  <c r="G206" i="19"/>
  <c r="G216" i="19"/>
  <c r="G135" i="19"/>
  <c r="G177" i="19"/>
  <c r="G183" i="19"/>
  <c r="G121" i="19"/>
  <c r="G159" i="19"/>
  <c r="G308" i="19"/>
  <c r="G215" i="19"/>
  <c r="G220" i="19"/>
  <c r="G310" i="19"/>
  <c r="G260" i="19"/>
  <c r="G255" i="19"/>
  <c r="G143" i="19"/>
  <c r="G169" i="19"/>
  <c r="G113" i="19"/>
  <c r="G269" i="19"/>
  <c r="G221" i="19"/>
  <c r="G48" i="19"/>
  <c r="G176" i="19"/>
  <c r="G195" i="19"/>
  <c r="G268" i="19"/>
  <c r="G309" i="19"/>
  <c r="G266" i="19"/>
  <c r="G298" i="19"/>
  <c r="G128" i="19"/>
  <c r="G126" i="19"/>
  <c r="G230" i="19"/>
  <c r="G93" i="19"/>
  <c r="G65" i="19"/>
  <c r="G232" i="19"/>
  <c r="G144" i="19"/>
  <c r="G118" i="19"/>
  <c r="G28" i="19"/>
  <c r="G29" i="19"/>
  <c r="G13" i="19"/>
  <c r="G332" i="19"/>
  <c r="G229" i="19"/>
  <c r="G5" i="19"/>
  <c r="G119" i="19"/>
  <c r="G214" i="19"/>
  <c r="G223" i="19"/>
  <c r="G244" i="19"/>
  <c r="G150" i="19"/>
  <c r="G131" i="19"/>
  <c r="G202" i="19"/>
  <c r="G284" i="19"/>
  <c r="G312" i="19"/>
  <c r="G302" i="19"/>
  <c r="G300" i="19"/>
  <c r="G8" i="19"/>
  <c r="G75" i="19"/>
  <c r="G304" i="19"/>
  <c r="G315" i="19"/>
  <c r="G271" i="19"/>
  <c r="G105" i="19"/>
  <c r="G152" i="19"/>
  <c r="G174" i="19"/>
  <c r="G294" i="19"/>
  <c r="G138" i="19"/>
  <c r="G42" i="19"/>
  <c r="G208" i="19"/>
  <c r="G18" i="19"/>
  <c r="G16" i="19"/>
  <c r="G210" i="19"/>
  <c r="G313" i="19"/>
  <c r="G186" i="19"/>
  <c r="G274" i="19"/>
  <c r="G165" i="19"/>
  <c r="G296" i="19"/>
  <c r="G163" i="19"/>
  <c r="G311" i="19"/>
  <c r="G180" i="19"/>
  <c r="G272" i="19"/>
  <c r="G247" i="19"/>
  <c r="G12" i="19"/>
  <c r="G172" i="19"/>
  <c r="G305" i="19"/>
  <c r="G299" i="19"/>
  <c r="G187" i="19"/>
  <c r="G130" i="19"/>
  <c r="G137" i="19"/>
  <c r="G189" i="19"/>
  <c r="G200" i="19"/>
  <c r="G125" i="19"/>
  <c r="G114" i="19"/>
  <c r="G282" i="19"/>
  <c r="G236" i="19"/>
  <c r="G251" i="19"/>
  <c r="G173" i="19"/>
  <c r="G184" i="19"/>
  <c r="G233" i="19"/>
  <c r="G273" i="19"/>
  <c r="G2" i="19"/>
  <c r="G51" i="19"/>
  <c r="G219" i="19"/>
  <c r="G107" i="19"/>
  <c r="G191" i="19"/>
  <c r="G134" i="19"/>
  <c r="G145" i="19"/>
  <c r="G204" i="19"/>
  <c r="G199" i="19"/>
  <c r="G120" i="19"/>
  <c r="G198" i="19"/>
  <c r="J27" i="18"/>
  <c r="G41" i="19"/>
  <c r="J7" i="18"/>
  <c r="G22" i="19"/>
  <c r="J21" i="18"/>
  <c r="G7" i="19"/>
  <c r="J174" i="18"/>
  <c r="G240" i="19"/>
  <c r="J115" i="18"/>
  <c r="G157" i="19"/>
  <c r="J104" i="18"/>
  <c r="G106" i="19"/>
  <c r="J157" i="18"/>
  <c r="G249" i="19"/>
  <c r="J74" i="18"/>
  <c r="G166" i="19"/>
  <c r="J305" i="18"/>
  <c r="G96" i="19"/>
  <c r="J38" i="18"/>
  <c r="G20" i="19"/>
  <c r="J99" i="18"/>
  <c r="G160" i="19"/>
  <c r="G324" i="19"/>
  <c r="G340" i="19"/>
  <c r="G321" i="19"/>
  <c r="G337" i="19"/>
  <c r="G328" i="19"/>
  <c r="G344" i="19"/>
  <c r="J3" i="18"/>
  <c r="G4" i="19"/>
  <c r="J8" i="18"/>
  <c r="G25" i="19"/>
  <c r="J10" i="18"/>
  <c r="G46" i="19"/>
  <c r="J4" i="18"/>
  <c r="G38" i="19"/>
  <c r="G44" i="19"/>
  <c r="J34" i="18"/>
  <c r="G14" i="19"/>
  <c r="J39" i="18"/>
  <c r="G30" i="19"/>
  <c r="J24" i="18"/>
  <c r="G35" i="19"/>
  <c r="J53" i="18"/>
  <c r="G31" i="19"/>
  <c r="J158" i="18"/>
  <c r="G193" i="19"/>
  <c r="J95" i="18"/>
  <c r="G117" i="19"/>
  <c r="J164" i="18"/>
  <c r="G234" i="19"/>
  <c r="J173" i="18"/>
  <c r="G246" i="19"/>
  <c r="J139" i="18"/>
  <c r="G238" i="19"/>
  <c r="J246" i="18"/>
  <c r="G259" i="19"/>
  <c r="J112" i="18"/>
  <c r="G295" i="19"/>
  <c r="J151" i="18"/>
  <c r="G170" i="19"/>
  <c r="J213" i="18"/>
  <c r="G209" i="19"/>
  <c r="J41" i="18"/>
  <c r="G40" i="19"/>
  <c r="J29" i="18"/>
  <c r="G27" i="19"/>
  <c r="J32" i="18"/>
  <c r="G50" i="19"/>
  <c r="J170" i="18"/>
  <c r="G253" i="19"/>
  <c r="J127" i="18"/>
  <c r="G261" i="19"/>
  <c r="J6" i="18"/>
  <c r="G15" i="19"/>
  <c r="J101" i="18"/>
  <c r="G207" i="19"/>
  <c r="J91" i="18"/>
  <c r="G161" i="19"/>
  <c r="J117" i="18"/>
  <c r="G201" i="19"/>
  <c r="J214" i="18"/>
  <c r="G178" i="19"/>
  <c r="G318" i="19"/>
  <c r="G334" i="19"/>
  <c r="G317" i="19"/>
  <c r="G333" i="19"/>
  <c r="G316" i="19"/>
  <c r="G331" i="19"/>
  <c r="G329" i="19"/>
  <c r="G345" i="19"/>
  <c r="G330" i="19"/>
  <c r="G346" i="19"/>
  <c r="G326" i="19"/>
  <c r="G342" i="19"/>
  <c r="G325" i="19"/>
  <c r="G341" i="19"/>
  <c r="G320" i="19"/>
  <c r="G336" i="19"/>
  <c r="G322" i="19"/>
  <c r="G338" i="19"/>
  <c r="J175" i="18"/>
  <c r="G133" i="19"/>
  <c r="J201" i="18"/>
  <c r="G213" i="19"/>
  <c r="J148" i="18"/>
  <c r="G262" i="19"/>
  <c r="J90" i="18"/>
  <c r="G194" i="19"/>
  <c r="G323" i="19"/>
  <c r="G339" i="19"/>
  <c r="G327" i="19"/>
  <c r="G343" i="19"/>
  <c r="G319" i="19"/>
  <c r="G335" i="19"/>
  <c r="J5" i="18"/>
  <c r="J9" i="18"/>
  <c r="J11" i="18"/>
  <c r="J12" i="18"/>
  <c r="J13" i="18"/>
  <c r="J14" i="18"/>
  <c r="J15" i="18"/>
  <c r="J16" i="18"/>
  <c r="J18" i="18"/>
  <c r="J19" i="18"/>
  <c r="J20" i="18"/>
  <c r="J22" i="18"/>
  <c r="J23" i="18"/>
  <c r="J25" i="18"/>
  <c r="J26" i="18"/>
  <c r="J28" i="18"/>
  <c r="J30" i="18"/>
  <c r="J31" i="18"/>
  <c r="J33" i="18"/>
  <c r="J35" i="18"/>
  <c r="J36" i="18"/>
  <c r="J37" i="18"/>
  <c r="J40" i="18"/>
  <c r="J42" i="18"/>
  <c r="J43" i="18"/>
  <c r="J44" i="18"/>
  <c r="J45" i="18"/>
  <c r="J46" i="18"/>
  <c r="J47" i="18"/>
  <c r="J48" i="18"/>
  <c r="J49" i="18"/>
  <c r="J50" i="18"/>
  <c r="J51" i="18"/>
  <c r="J52" i="18"/>
  <c r="J54" i="18"/>
  <c r="J55" i="18"/>
  <c r="J56" i="18"/>
  <c r="J57" i="18"/>
  <c r="J58" i="18"/>
  <c r="J59" i="18"/>
  <c r="J60" i="18"/>
  <c r="J61" i="18"/>
  <c r="J62" i="18"/>
  <c r="J63" i="18"/>
  <c r="J64" i="18"/>
  <c r="J65" i="18"/>
  <c r="J66" i="18"/>
  <c r="J67" i="18"/>
  <c r="J68" i="18"/>
  <c r="J69" i="18"/>
  <c r="J70" i="18"/>
  <c r="J71" i="18"/>
  <c r="J72" i="18"/>
  <c r="J73" i="18"/>
  <c r="J75" i="18"/>
  <c r="J76" i="18"/>
  <c r="J77" i="18"/>
  <c r="J78" i="18"/>
  <c r="J79" i="18"/>
  <c r="J80" i="18"/>
  <c r="J81" i="18"/>
  <c r="J82" i="18"/>
  <c r="J83" i="18"/>
  <c r="J84" i="18"/>
  <c r="J85" i="18"/>
  <c r="J86" i="18"/>
  <c r="J87" i="18"/>
  <c r="J88" i="18"/>
  <c r="J89" i="18"/>
  <c r="J92" i="18"/>
  <c r="J93" i="18"/>
  <c r="J94" i="18"/>
  <c r="J96" i="18"/>
  <c r="J97" i="18"/>
  <c r="J98" i="18"/>
  <c r="J100" i="18"/>
  <c r="J102" i="18"/>
  <c r="J103" i="18"/>
  <c r="J105" i="18"/>
  <c r="J106" i="18"/>
  <c r="J107" i="18"/>
  <c r="J108" i="18"/>
  <c r="J109" i="18"/>
  <c r="J110" i="18"/>
  <c r="J111" i="18"/>
  <c r="J113" i="18"/>
  <c r="J114" i="18"/>
  <c r="J116" i="18"/>
  <c r="J118" i="18"/>
  <c r="J119" i="18"/>
  <c r="J120" i="18"/>
  <c r="J121" i="18"/>
  <c r="J122" i="18"/>
  <c r="J123" i="18"/>
  <c r="J124" i="18"/>
  <c r="J125" i="18"/>
  <c r="J126" i="18"/>
  <c r="J128" i="18"/>
  <c r="J129" i="18"/>
  <c r="J130" i="18"/>
  <c r="J131" i="18"/>
  <c r="J132" i="18"/>
  <c r="J133" i="18"/>
  <c r="J134" i="18"/>
  <c r="J135" i="18"/>
  <c r="J136" i="18"/>
  <c r="J137" i="18"/>
  <c r="J138" i="18"/>
  <c r="J140" i="18"/>
  <c r="J141" i="18"/>
  <c r="J142" i="18"/>
  <c r="J143" i="18"/>
  <c r="J144" i="18"/>
  <c r="J145" i="18"/>
  <c r="J146" i="18"/>
  <c r="J147" i="18"/>
  <c r="J149" i="18"/>
  <c r="J150" i="18"/>
  <c r="J152" i="18"/>
  <c r="J153" i="18"/>
  <c r="J154" i="18"/>
  <c r="J155" i="18"/>
  <c r="J156" i="18"/>
  <c r="J159" i="18"/>
  <c r="J160" i="18"/>
  <c r="J161" i="18"/>
  <c r="J162" i="18"/>
  <c r="J163" i="18"/>
  <c r="J165" i="18"/>
  <c r="J167" i="18"/>
  <c r="J168" i="18"/>
  <c r="J169" i="18"/>
  <c r="J171" i="18"/>
  <c r="J172" i="18"/>
  <c r="J176" i="18"/>
  <c r="J177" i="18"/>
  <c r="J178" i="18"/>
  <c r="J179" i="18"/>
  <c r="J180" i="18"/>
  <c r="J181" i="18"/>
  <c r="J182" i="18"/>
  <c r="J183" i="18"/>
  <c r="J184" i="18"/>
  <c r="J185" i="18"/>
  <c r="J186" i="18"/>
  <c r="J187" i="18"/>
  <c r="J188" i="18"/>
  <c r="J190" i="18"/>
  <c r="J191" i="18"/>
  <c r="J192" i="18"/>
  <c r="J193" i="18"/>
  <c r="J194" i="18"/>
  <c r="J195" i="18"/>
  <c r="J196" i="18"/>
  <c r="J197" i="18"/>
  <c r="J198" i="18"/>
  <c r="J199" i="18"/>
  <c r="J200" i="18"/>
  <c r="J202" i="18"/>
  <c r="J204" i="18"/>
  <c r="J205" i="18"/>
  <c r="J206" i="18"/>
  <c r="J207" i="18"/>
  <c r="J208" i="18"/>
  <c r="J209" i="18"/>
  <c r="J210" i="18"/>
  <c r="J211" i="18"/>
  <c r="J212"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301" i="18"/>
  <c r="J302" i="18"/>
  <c r="J303" i="18"/>
  <c r="J304"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166" i="18" l="1"/>
  <c r="G252" i="19"/>
  <c r="J203" i="18"/>
  <c r="G155" i="19"/>
  <c r="J189" i="18"/>
  <c r="G242" i="19"/>
  <c r="J17" i="18"/>
  <c r="G21" i="19"/>
</calcChain>
</file>

<file path=xl/sharedStrings.xml><?xml version="1.0" encoding="utf-8"?>
<sst xmlns="http://schemas.openxmlformats.org/spreadsheetml/2006/main" count="4349" uniqueCount="1976">
  <si>
    <t>ID</t>
  </si>
  <si>
    <t>Name</t>
  </si>
  <si>
    <t>E-mail</t>
  </si>
  <si>
    <t>Registered Course</t>
  </si>
  <si>
    <t>Project Code</t>
  </si>
  <si>
    <t>Supervisor</t>
  </si>
  <si>
    <t>TA</t>
  </si>
  <si>
    <t>Project Title</t>
  </si>
  <si>
    <t>Project Summary</t>
  </si>
  <si>
    <t>Project Objectives</t>
  </si>
  <si>
    <t>External Supervisor</t>
  </si>
  <si>
    <t>Company</t>
  </si>
  <si>
    <t>Comment</t>
  </si>
  <si>
    <t>Choice</t>
  </si>
  <si>
    <t>231000119</t>
  </si>
  <si>
    <t>Mohamed Abdellatif</t>
  </si>
  <si>
    <t>m.abdellatif2319@nu.edu.eg</t>
  </si>
  <si>
    <t>ITCS-GP26-01</t>
  </si>
  <si>
    <t>Prof. Noha Gamal Eldin Saad</t>
  </si>
  <si>
    <t>AI powered Clinical Management System</t>
  </si>
  <si>
    <t>Our project is an AI-powered Clinical Management System designed to streamline and modernize the daily operations of healthcare clinics. The system provides a centralized platform for managing all clinic activities, including doctors, patients, nurses, administrators, appointments, medical records, billing, and reporting. By integrating artificial intelligence, the platform reduces administrative workload, improves efficiency, enhances patient experience, and supports healthcare professionals in delivering better care.</t>
  </si>
  <si>
    <t>231000010</t>
  </si>
  <si>
    <t>Z.ahmed2310@nu.edu.eg</t>
  </si>
  <si>
    <t>231000573</t>
  </si>
  <si>
    <t>O.Amin2373@nu.edu.eg</t>
  </si>
  <si>
    <t>231000765</t>
  </si>
  <si>
    <t>M.Mohamed2365@nu.edu.eg</t>
  </si>
  <si>
    <t>231000402</t>
  </si>
  <si>
    <t>Ahmed Afifi</t>
  </si>
  <si>
    <t>A.Mohamed2302@nu.edu.eg</t>
  </si>
  <si>
    <t>ITCS-GP26-02</t>
  </si>
  <si>
    <t>Prof. Sahar Selim Soussa</t>
  </si>
  <si>
    <t>AgentOS: A Native Operating Environment for Software Engineering Agents</t>
  </si>
  <si>
    <t>Recent advances in AI agents have enabled systems capable of performing complex tasks such as software development, research assistance, and workflow automation. However, most existing agents operate as standalone applications that depend on the user's active device and continuous supervision. This project proposes AgentOS, a native operating environment designed to host and manage persistent autonomous AI agents. The platform will support continuous agent execution, task persistence, remote monitoring, and notification-based communication, allowing agents to operate independently while keeping users informed and involved when necessary. The system aims to provide a foundation for future agent-centric computing environments that support long-running AI workflows and multi-agent collaboration.</t>
  </si>
  <si>
    <t>231001706</t>
  </si>
  <si>
    <t>P.Mohamed2306@nu.edu.eg</t>
  </si>
  <si>
    <t>231001462</t>
  </si>
  <si>
    <t>Y.Essam2362@nu.edu.eg</t>
  </si>
  <si>
    <t>231000713</t>
  </si>
  <si>
    <t>A.Khaled2313@nu.edu.eg</t>
  </si>
  <si>
    <t>231000057</t>
  </si>
  <si>
    <t>Z.Hatem2357@nu.edu.eg</t>
  </si>
  <si>
    <t>231000616</t>
  </si>
  <si>
    <t xml:space="preserve">Mahmoud Khaled </t>
  </si>
  <si>
    <t>M.Khaled2316@nu.edu.eg</t>
  </si>
  <si>
    <t>ITCS-GP26-03</t>
  </si>
  <si>
    <t>Prof. Salem Farag Hegazy + Alaa Fathy Sheta</t>
  </si>
  <si>
    <t>Historical Photo Geolocalization: Estimating GPS Coordinates Using Computer Vision and GIS</t>
  </si>
  <si>
    <t>This graduate project, Historical Photo Geolocalization, utilizes computer vision and geographic information systems (GIS) to estimate precise GPS coordinates for undated, degraded historical photographs that completely lack metadata. Unlike existing modern AI models that merely classify general scenes (like cities or countries) using modern training data, this system uses a custom pipeline to extract visual features from scratched, sepia, or low-resolution historic images. By identifying enduring landmarks and applying camera geometry, the system geometrically triangulates the photographer's exact vantage point to a sub-10-meter precision. Each estimated coordinate is saved to a "Historical Viewpoints Database" along with an estimated compass direction and a confidence radius, effectively creating an interactive, searchable 3D map that allows modern researchers to stand in the exact footsteps of history.</t>
  </si>
  <si>
    <t>231000621</t>
  </si>
  <si>
    <t>z.khaled2321@nu.edu.eg</t>
  </si>
  <si>
    <t>231000144</t>
  </si>
  <si>
    <t>o.khaled2344@nu.edu.eg</t>
  </si>
  <si>
    <t>231000562</t>
  </si>
  <si>
    <t>y.mohamed2362@nu.edu.eg</t>
  </si>
  <si>
    <t>231000546</t>
  </si>
  <si>
    <t>m.mohamedshalaby2346@nu.edu.eg</t>
  </si>
  <si>
    <t>231001369</t>
  </si>
  <si>
    <t>Salma Zakaria</t>
  </si>
  <si>
    <t>s.ali2369@nu.edu.eg</t>
  </si>
  <si>
    <t>ITCS-GP26-04</t>
  </si>
  <si>
    <t>Prof. Ahmed Fathy El Nokrashy</t>
  </si>
  <si>
    <t>Intelligent Smart home loT system</t>
  </si>
  <si>
    <t>Our application is designed to help caregivers and families provide better care for patients, elderly individuals, and children. The app sends timely medication reminders to ensure that doses are never missed. It also includes a location-monitoring feature that alerts caregivers if the patient or child moves outside a designated safe area, we will also add some other critical features later to making it a comprehensive solution for safety, health management, and caregiving support.</t>
  </si>
  <si>
    <t>231000646</t>
  </si>
  <si>
    <t>B.ali2346@nu.edu.eg</t>
  </si>
  <si>
    <t>231000679</t>
  </si>
  <si>
    <t>o.abdelwahed2379@nu.edu.eg</t>
  </si>
  <si>
    <t>231001588</t>
  </si>
  <si>
    <t>M.atef2388@nu.edu.eg</t>
  </si>
  <si>
    <t>221000499</t>
  </si>
  <si>
    <t>Mohamed wael</t>
  </si>
  <si>
    <t>M.Wael2299@nu.edu.eg</t>
  </si>
  <si>
    <t>ITCS-GP26-05</t>
  </si>
  <si>
    <t>Prof. Islam Tharwat Abdelhalim</t>
  </si>
  <si>
    <t>Gamified Cybersecurity Awareness Platform</t>
  </si>
  <si>
    <t>Gamified Cybersecurity Awareness Platform Most cybersecurity breaches happen due to human error rather than technical failure, yet traditional security training is often ignored or forgotten. This project is an interactive, game-based learning platform that teaches users practical cybersecurity skills and awareness through engaging challenges, simulations, and progress tracking. Key features:  Interactive lessons covering core topics: phishing, password security, social engineering, malware, and safe browsing habits Simulated real-world scenarios (e.g., spotting phishing emails or suspicious links) with instant feedback Points, levels, badges, and leaderboards to drive engagement Hands-on exercises that build practical security habits Individual progress tracking and performance reports Admin dashboard for instructors or organizations to monitor group progress and identify weak areas</t>
  </si>
  <si>
    <t>221002127</t>
  </si>
  <si>
    <t>M.magdy2227@nu.edu.eg</t>
  </si>
  <si>
    <t>231001639</t>
  </si>
  <si>
    <t>M.MAHMOUD2339@nu.edu.eg</t>
  </si>
  <si>
    <t>231001650</t>
  </si>
  <si>
    <t>S.reda2350@nu.edu.eg</t>
  </si>
  <si>
    <t>Smart Rehabilitation Assistant with Vision-Based Feedback</t>
  </si>
  <si>
    <t>231000818</t>
  </si>
  <si>
    <t>r.Ramadan2318@nu.edu.eg</t>
  </si>
  <si>
    <t>221001245</t>
  </si>
  <si>
    <t>m.khaled2245@nu.edu.eg</t>
  </si>
  <si>
    <t>231000547</t>
  </si>
  <si>
    <t>Zyad Mohamed Saied</t>
  </si>
  <si>
    <t>Z.Mohamed2347@nu.edu.eg</t>
  </si>
  <si>
    <t>ITCS-GP26-06</t>
  </si>
  <si>
    <t>Smart Campus</t>
  </si>
  <si>
    <t>The graduation project integrates smart campus features—including an AI chatbot, smart classrooms, study spaces, transportation, parking, and exam scheduling—while leveraging the team’s expertise in Generative AI, Fullstack Development, Data, Computer Vision/IoT, and DevOps to deliver an intelligent and practical campus solution.</t>
  </si>
  <si>
    <t>231002012</t>
  </si>
  <si>
    <t>R.Hatem2312@nu.edu.eg</t>
  </si>
  <si>
    <t>231002060</t>
  </si>
  <si>
    <t>M.Hatem2360@nu.edu.eg</t>
  </si>
  <si>
    <t>231000674</t>
  </si>
  <si>
    <t>O.Salama2374@nu.edu.eg</t>
  </si>
  <si>
    <t>231000857</t>
  </si>
  <si>
    <t>N.Diaa2357@nu.edu.eg</t>
  </si>
  <si>
    <t>231001228</t>
  </si>
  <si>
    <t>S.Hosaam2328@nu.edu.eg</t>
  </si>
  <si>
    <t>231001880</t>
  </si>
  <si>
    <t>Hamza Taher Essam Ibrahim</t>
  </si>
  <si>
    <t>h.taher2380@nu.edu.eg</t>
  </si>
  <si>
    <t>ITCS-GP26-07</t>
  </si>
  <si>
    <t>Prof. Amira Tarek Mahmoud</t>
  </si>
  <si>
    <t>AI-Powered Source Code Cleaner, Optimizer &amp; Testing System</t>
  </si>
  <si>
    <t>This project proposes an AI-powered platform that automatically analyzes source code and improves it through intelligent code cleanup, performance optimization, and automated test generation, all within a unified system.</t>
  </si>
  <si>
    <t>231001297</t>
  </si>
  <si>
    <t xml:space="preserve">Y.ASHRAF2397@nu.edu.eg </t>
  </si>
  <si>
    <t>231000967</t>
  </si>
  <si>
    <t xml:space="preserve">O.Magdy2367@nu.edu.eg </t>
  </si>
  <si>
    <t>231002205</t>
  </si>
  <si>
    <t>Z.nabil2305@nu.edu.eg</t>
  </si>
  <si>
    <t>231000179</t>
  </si>
  <si>
    <t>y.amr2379@nu.edu.eg</t>
  </si>
  <si>
    <t>231001417</t>
  </si>
  <si>
    <t xml:space="preserve">Sara Mohamed Lotfy </t>
  </si>
  <si>
    <t>S.Mohamed2317@nu.edu.eg</t>
  </si>
  <si>
    <t>ITCS-GP26-08</t>
  </si>
  <si>
    <t>Prof. Mai Mohamed Said</t>
  </si>
  <si>
    <t>AI-RadConnect: An Intelligent Teleradiology Platform for Real-Time Radiological Interpretation, Clinical Decision Support, and Automated Report Generation Using Multimodal Artificial Intelligence</t>
  </si>
  <si>
    <t>AI-RadConnect is a graduation project that aims to develop an intelligent teleradiology platform that uses artificial intelligence to support radiologists in interpreting medical images and making faster clinical decisions. The system will analyze medical images, prioritize urgent cases, generate preliminary radiology reports, and provide explainable AI-based diagnostic support.  The platform will integrate medical imaging with relevant clinical information using deep learning and multimodal AI techniques to improve diagnostic accuracy and reduce reporting time. It will also include automated report generation and case prioritization to enhance workflow efficiency. The project will be developed and evaluated using publicly available medical imaging datasets, demonstrating the potential of AI to improve the quality and accessibility of radiology services.</t>
  </si>
  <si>
    <t>231000980</t>
  </si>
  <si>
    <t>M.mohamed2380@nu.edu.eg</t>
  </si>
  <si>
    <t>231001409</t>
  </si>
  <si>
    <t xml:space="preserve">  A.Tamer2309@nu.edu.eg  </t>
  </si>
  <si>
    <t>231000568</t>
  </si>
  <si>
    <t xml:space="preserve">A.Mohamed2368@nu.edu.eg </t>
  </si>
  <si>
    <t>231001151</t>
  </si>
  <si>
    <t xml:space="preserve">A.khaled2351@nu.edu.eg  </t>
  </si>
  <si>
    <t>231000620</t>
  </si>
  <si>
    <t xml:space="preserve">Hana Nasser Mostafa </t>
  </si>
  <si>
    <t>h.nasser2320@nu.edu.eg</t>
  </si>
  <si>
    <t>ITCS-GP26-09</t>
  </si>
  <si>
    <t>Prof. Sahar Ali Fawzi Fayek</t>
  </si>
  <si>
    <t>AI-Based Genetic Prediction System for Early Detection of Fetal Musculoskeletal Disorders</t>
  </si>
  <si>
    <t>The AI-Based Genetic Prediction System for Early Detection of Fetal Musculoskeletal Disorders aims to develop an intelligent decision-support system that predicts the risk of fetal musculoskeletal disorders using genetic and clinical data. The project integrates artificial intelligence and machine learning techniques to analyze complex genetic patterns associated with congenital musculoskeletal abnormalities.  The system will involve data collection and preprocessing, feature engineering, model development, training, validation, and performance evaluation using appropriate metrics such as accuracy, precision, recall, F1-score, and ROC-AUC. The objective is to identify high-risk cases at an early stage, supporting healthcare professionals in making timely and informed clinical decisions.  By enabling early prediction, the proposed system has the potential to improve prenatal diagnosis, facilitate early medical intervention, reduce diagnostic delays, and contribute to better maternal and fetal healthcare outcomes. The project also explores the practical application of AI in biomedical informatics while ensuring ethical handling of medical data and maintaining patient privacy.</t>
  </si>
  <si>
    <t>231001599</t>
  </si>
  <si>
    <t>m.diaaeldin2399@nu.edu.eg</t>
  </si>
  <si>
    <t>231001747</t>
  </si>
  <si>
    <t>M.adel2347@nu.edu.eg</t>
  </si>
  <si>
    <t>231001649</t>
  </si>
  <si>
    <t>N.maged2349@nu.edu.eg</t>
  </si>
  <si>
    <t>231001591</t>
  </si>
  <si>
    <t>m.mohamed2391@nu.edu.eg</t>
  </si>
  <si>
    <t>231001146</t>
  </si>
  <si>
    <t xml:space="preserve">Mohanad mohamed mahmoud Ibrahim </t>
  </si>
  <si>
    <t>M.mohamed2346@nu.edu.eg</t>
  </si>
  <si>
    <t>ITCS-GP26-10</t>
  </si>
  <si>
    <t>AutoCare: An AI-Based Vehicle Health, Maintenance, and Recommendation Platform</t>
  </si>
  <si>
    <t>AutoCare is an AI-powered vehicle health and maintenance platform designed to help car owners manage their vehicles more efficiently through personalized maintenance planning, intelligent recommendations, and conversational AI support. The system creates a digital vehicle profile containing information such as the car's brand, model, year, engine type, mileage, maintenance history, and driving habits to provide customized recommendations instead of generic advice. The platform offers maintenance reminders based on mileage and service history, recommends suitable engine oils, fuel grades, batteries, tires, and spare parts, and assists users in selecting reliable replacement components with estimated price ranges. It also includes an AI automotive assistant capable of answering vehicle-related questions, providing initial symptom-based fault diagnosis, explaining dashboard warning indicators, and offering maintenance guidance tailored to the user's vehicle. Additionally, AutoCare calculates a Vehicle Health Index (VHI) that evaluates the overall condition of the vehicle using maintenance records, mileage, vehicle age, and reported issues. The system also estimates maintenance costs, prioritizes maintenance tasks according to their urgency, tracks fuel consumption, and recommends nearby service centers and spare parts providers. The proposed platform is designed to be practical for the Egyptian market, where many vehicle owners rely on symptom descriptions rather than advanced diagnostic equipment. Beyond being a graduation project, AutoCare has strong potential to evolve into a commercial automotive ecosystem connecting vehicle owners with service centers, spare parts suppliers, and maintenance providers through an intelligent, AI-driven platform.</t>
  </si>
  <si>
    <t>222000075</t>
  </si>
  <si>
    <t xml:space="preserve">i.2275@nu.edu.eg </t>
  </si>
  <si>
    <t>231000900</t>
  </si>
  <si>
    <t>M.refaat2300@nu.edu.eg</t>
  </si>
  <si>
    <t>231001057</t>
  </si>
  <si>
    <t>A.2357@nu.edu.eg</t>
  </si>
  <si>
    <t>231000844</t>
  </si>
  <si>
    <t xml:space="preserve">a.hesham2344@nu.edu.eg </t>
  </si>
  <si>
    <t>231000412</t>
  </si>
  <si>
    <t xml:space="preserve">Yahia Gaber </t>
  </si>
  <si>
    <t>y.hany2312@nu.edu.eg</t>
  </si>
  <si>
    <t>ITCS-GP26-11</t>
  </si>
  <si>
    <t>Prof. Heba Kamal Aslan Abu Sobieh</t>
  </si>
  <si>
    <t>LLM-Powered Multi-Agent Framework for Autonomous Threat Hunting</t>
  </si>
  <si>
    <t>This project will deploy a multi-agent system that autonomously generates threat hypotheses, collects and analyzes log data, and reconstructs attack patterns to assist human threat hunters. The agents will reason about potential adversary behaviors based on known attack frameworks, translate those hypotheses into searchable queries, and iteratively refine their findings. A human-in-the-loop interface will allow analysts to review, approve, or override agent decisions, reducing manual hunting effort while accelerating threat detection.</t>
  </si>
  <si>
    <t>231001399</t>
  </si>
  <si>
    <t>j.ashraf2399@nu.edu.eg</t>
  </si>
  <si>
    <t>231000256</t>
  </si>
  <si>
    <t>o.hesham2356@nu.edu.eg</t>
  </si>
  <si>
    <t>231000224</t>
  </si>
  <si>
    <t>a.mohamed2324@nu.edu.eg</t>
  </si>
  <si>
    <t>231000102</t>
  </si>
  <si>
    <t>a.yasser2302@nu.edu.eg</t>
  </si>
  <si>
    <t>231000356</t>
  </si>
  <si>
    <t>ZainElabdeen Osama Mohamed</t>
  </si>
  <si>
    <t>Z.osama2356@nu.edu.eg</t>
  </si>
  <si>
    <t>ITCS-GP26-12</t>
  </si>
  <si>
    <t>Prof. Ensaf Hussein Mohamed</t>
  </si>
  <si>
    <t>A Hierarchical Edge-Cloud Framework for Context-Aware, Multimodal Autonomous Personal Assistants</t>
  </si>
  <si>
    <t>Project V (or “V” For short) is aimed to be developed as an embodied of an AI agent, It will start designed for personalized academic and mental health support for students.  Designed to be a "Jarvis-like" assistant, where it can give personalized academic and mental health support. The system utilizes a three-tiered architecture: an ESP32-S3 for low-power sensing, an SBC like the Orange Pi 5 Pro for high-performance edge computing (handling real-time speech recognition such as Egyptian Arabic, object detection, Speech, and local LLM execution), and a Cloud Layer for complex reasoning. The project uses "Orchestration Logic" to intelligently route tasks between local and cloud processing to balance privacy, cost, and speed.</t>
  </si>
  <si>
    <t>231000359</t>
  </si>
  <si>
    <t>m.hesham2359@nu.edu.eg</t>
  </si>
  <si>
    <t>231001737</t>
  </si>
  <si>
    <t>M.Mamdouh2337@nu.edu.eg</t>
  </si>
  <si>
    <t>231000137</t>
  </si>
  <si>
    <t>m.ahmed2337@nu.edu.eg</t>
  </si>
  <si>
    <t>231001427</t>
  </si>
  <si>
    <t>j.hussein2327@nu.edu.eg</t>
  </si>
  <si>
    <t>231000006</t>
  </si>
  <si>
    <t xml:space="preserve">Farah Moustafa Awadalla </t>
  </si>
  <si>
    <t>F.Moustafa2306@nu.edu.eg</t>
  </si>
  <si>
    <t>ITCS-GP26-13</t>
  </si>
  <si>
    <t>AI-Powered Cognitive Profiling for Arabic Classrooms</t>
  </si>
  <si>
    <t>AI-Powered Cognitive Profiling for Arabic Classrooms is an Explainable AI (XAI) decision-support platform that combines cognitive psychology, educational psychology, and Retrieval-Augmented Generation (RAG) to help teachers create more effective learning experiences without replacing their role.  At the beginning of each school term, students complete a battery of standardized cognitive assessments that measure key cognitive domains such as attention, working memory, processing speed, and decision-making. The results are used to generate individual cognitive profiles, providing teachers with a deeper understanding of how their students process and learn information beyond traditional indicators such as grades and exams.  The platform then uses a RAG-based Explainable AI framework to retrieve evidence from validated educational psychology literature and translate each cognitive profile into evidence-based instructional recommendations. Rather than generating unsupported suggestions, the system grounds every recommendation in established educational theories and practices, explaining why a particular teaching strategy is appropriate and the psychological evidence behind it.  To support classroom planning, the system also aggregates individual profiles into a class-level cognitive overview, highlighting common strengths and challenges across the class. Teachers receive actionable insights and evidence-based teaching strategies that they can use to adapt lesson delivery, helping students learn in ways that better align with their cognitive characteristics.  The proposed system is designed to support—not replace—teachers by serving as an intelligent decision-support tool. Its primary contribution is the integration of cognitive assessment, educational psychology, Explainable AI, and RAG into a single platform for Arabic-speaking classrooms, addressing the current lack of AI systems that provide transparent, evidence-based instructional guidance tailored to Arabic learners.</t>
  </si>
  <si>
    <t>231000842</t>
  </si>
  <si>
    <t>M.AbdElhamied2342@nu.edu.eg</t>
  </si>
  <si>
    <t>231000762</t>
  </si>
  <si>
    <t>Y.Medhat2362@nu.edu.eg</t>
  </si>
  <si>
    <t>231001424</t>
  </si>
  <si>
    <t>R.Khaled2324@nu.edu.eg</t>
  </si>
  <si>
    <t>231000751</t>
  </si>
  <si>
    <t>Y.Hassan2351@nu.edu.eg</t>
  </si>
  <si>
    <t>231001820</t>
  </si>
  <si>
    <t>Lina Ashraf Sediq</t>
  </si>
  <si>
    <t>l.ashraf2320@nu.edu.eg</t>
  </si>
  <si>
    <t>ITCS-GP26-14</t>
  </si>
  <si>
    <t>Mohamed Ibrahim Ragab</t>
  </si>
  <si>
    <t>AI-Based Kidney and Kidney Tumor Segmentation with Automatic Clinical Decision Support</t>
  </si>
  <si>
    <t>This project aims to develop an Artificial Intelligence system that analyzes medical images to automatically identify and outline the kidneys and any kidney tumors. After detecting the tumor, the system provides clinical decision support, meaning it helps doctors by analyzing the results and suggesting useful information</t>
  </si>
  <si>
    <t>231000999</t>
  </si>
  <si>
    <t>L.yasser2399@nu.edu.eg</t>
  </si>
  <si>
    <t>241000705</t>
  </si>
  <si>
    <t>T.Khaled2405@nu.edu.eg</t>
  </si>
  <si>
    <t>231001259</t>
  </si>
  <si>
    <t xml:space="preserve">Omar Yousry Youssef  </t>
  </si>
  <si>
    <t>o.yousry2359@nu.edu.eg</t>
  </si>
  <si>
    <t>ITCS-GP26-15</t>
  </si>
  <si>
    <t>Prof. Mohamed Mysara Ahmed</t>
  </si>
  <si>
    <t>Bioinformatics and Medical Imaging for Cancer Detection</t>
  </si>
  <si>
    <t>231000678</t>
  </si>
  <si>
    <t>l.mohamed2378@nu.edu.eg</t>
  </si>
  <si>
    <t>231001170</t>
  </si>
  <si>
    <t>N.Mohamed2370@nu.edu.eg</t>
  </si>
  <si>
    <t>231001708</t>
  </si>
  <si>
    <t>M.Amir2308@nu.edu.eg</t>
  </si>
  <si>
    <t>231000012</t>
  </si>
  <si>
    <t>M.Samer2312@nu.edu.eg</t>
  </si>
  <si>
    <t>231000899</t>
  </si>
  <si>
    <t>H.Hashim2399@nu.edu.eg</t>
  </si>
  <si>
    <t>231000065</t>
  </si>
  <si>
    <t>Jana Mohamed Mostafa Essmat</t>
  </si>
  <si>
    <t>j.mohamed2365@nu.edu.eg</t>
  </si>
  <si>
    <t>ITCS-GP26-16</t>
  </si>
  <si>
    <t>Application of AI in cancer. Specifically: ( Skin Cancer). or ITCS-GP26-96 | Prof. Mohamed Mysara Ahmed | Prognosis and Complication Detection of Breast Implants Using Mammography and Clinical Data: A Machine Learning Approach</t>
  </si>
  <si>
    <t xml:space="preserve"> AI-Based Skin Cancer Early Detection System  This project aims to develop an AI-based decision-support system for the early detection of skin cancer through the analysis of skin lesion images. The system will use publicly available datasets, such as ISIC or HAM10000, to classify skin lesions and provide real-time prediction through a user-friendly web application. To improve transparency, the system may incorporate explainable AI techniques to help interpret the prediction results. The proposed solution is intended to assist healthcare professionals in early screening and support clinical decision-making, rather than replace medical diagnosis.</t>
  </si>
  <si>
    <t>231001280</t>
  </si>
  <si>
    <t>S.Ayman2380@nu.edu.eg</t>
  </si>
  <si>
    <t>231001194</t>
  </si>
  <si>
    <t>S.Ayman2394@nu.edu.eg</t>
  </si>
  <si>
    <t>231000774</t>
  </si>
  <si>
    <t>M.Hany2374@nu.edu.eg</t>
  </si>
  <si>
    <t>231001098</t>
  </si>
  <si>
    <t>N.Raafat2398@nu.edu.eg</t>
  </si>
  <si>
    <t>231001046</t>
  </si>
  <si>
    <t>Malak Walid Rezk</t>
  </si>
  <si>
    <t>M.Walid2346@nu.edu.eg</t>
  </si>
  <si>
    <t>ITCS-GP26-17</t>
  </si>
  <si>
    <t>Prof. Waleed Ibrahim Aly Hassanien Al-Atabany</t>
  </si>
  <si>
    <t>AutiGuide: A Mobile Application for Early Autism Screening and Parent Guidance</t>
  </si>
  <si>
    <t>AutiGuide is an AI-powered mobile application designed to support the early screening of Autism Spectrum Disorder (ASD) in children and provide parents with personalized guidance and support. The application collects basic developmental and behavioral information from parents through an interactive questionnaire and analyzes a facial image of the child using a deep learning model to estimate the likelihood of autism-related characteristics. The application is intended as an early screening tool rather than a medical diagnostic system and encourages parents to seek professional medical evaluation when a high risk is detected.  Beyond screening, AutiGuide provides comprehensive support for families by offering personalized recommendations on how parents can effectively communicate with and support their children based on the screening results. The application also recommends nearby qualified autism specialists and therapy centers, making it easier for parents to access professional care.  To support children's development, AutiGuide includes a collection of interactive educational games and activities designed to improve communication, social interaction, attention, and cognitive skills. Additionally, it provides educational resources that help parents better understand autism, developmental milestones, and evidence-based intervention strategies.  By integrating artificial intelligence, computer vision, and an intuitive mobile interface, AutiGuide aims to increase awareness of autism, facilitate earlier detection, empower parents with practical guidance, and contribute to improving developmental outcomes and quality of life for children with autism and their families.</t>
  </si>
  <si>
    <t xml:space="preserve">231000957 </t>
  </si>
  <si>
    <t>J.Abd2357@nu.edu.eg</t>
  </si>
  <si>
    <t xml:space="preserve">231000133 </t>
  </si>
  <si>
    <t>a.tarek2333@nu.edu.eg</t>
  </si>
  <si>
    <t xml:space="preserve">231000278 </t>
  </si>
  <si>
    <t>S.Ahmed2378@nu.edu.eg</t>
  </si>
  <si>
    <t>Assmaa Nasser</t>
  </si>
  <si>
    <t xml:space="preserve"> 231000334</t>
  </si>
  <si>
    <t>S.Ahmed2334@nu.edu.eg</t>
  </si>
  <si>
    <t xml:space="preserve"> 231000524</t>
  </si>
  <si>
    <t>z.ahmed2324@nu.edu.eg</t>
  </si>
  <si>
    <t>231000650</t>
  </si>
  <si>
    <t>Yasmin Ahmed Radwan</t>
  </si>
  <si>
    <t>y.ahmed2350@nu.edu.eg</t>
  </si>
  <si>
    <t>ITCS-GP26-18</t>
  </si>
  <si>
    <t>An AI-Enabled Framework for Mental Health Assessment, Evaluation, and Personalized Support</t>
  </si>
  <si>
    <t>This project focuses on the development of an intelligent framework for mental health assessment and evaluation. The framework is intended to support the analysis of relevant information, identify meaningful patterns, and provide useful outputs that can assist with understanding an individual’s mental health status and possible changes over time.  The project may explore different artificial intelligence methods and data sources depending on the available resources, research findings, and technical feasibility. The system is intended to go beyond generating a simple prediction or assessment result by transforming its findings into meaningful and explainable outputs that may support appropriate decisions, recommendations, follow-up actions, reassessment, or professional review.  Human involvement will remain an important part of the framework, particularly when interpreting sensitive results, validating system outputs, and making decisions that may affect the user. The system may also support repeated evaluation, allowing new information and feedback to improve future assessments and recommendations.  The final outcome may take the form of a prototype, platform, analytical framework, or integrated system, depending on the direction and findings of the project throughout its development.</t>
  </si>
  <si>
    <t>231000470</t>
  </si>
  <si>
    <t>N.Ahmed2370@nu.edu.eg</t>
  </si>
  <si>
    <t>231000222</t>
  </si>
  <si>
    <t>M.yasser2322@nu.edu.eg</t>
  </si>
  <si>
    <t>231000033</t>
  </si>
  <si>
    <t>F.essameldin2333@nu.edu.eg</t>
  </si>
  <si>
    <t>231000491</t>
  </si>
  <si>
    <t>O.Tamer2391@nu.edu.eg</t>
  </si>
  <si>
    <t>231000554</t>
  </si>
  <si>
    <t>Omar Walid Khalafallah</t>
  </si>
  <si>
    <t>o.walid2354@nu.edu.eg</t>
  </si>
  <si>
    <t>ITCS-GP26-19</t>
  </si>
  <si>
    <t>BrokerIQ</t>
  </si>
  <si>
    <t>BrokerIQ is an AI-powered sales intelligence platform for Egyptian real estate brokerages. Sales agents currently manage hundreds of active leads across WhatsApp, phone calls, and spreadsheets with no system to track conversation history, gauge buyer intent, or prioritize follow-ups, resulting in lost deals, cold leads, and mismatched property recommendations. BrokerIQ listens to sales calls, analyzes WhatsApp conversations in Egyptian Arabic, and maintains a live database of available properties across the developers a brokerage represents. Using this data, it scores lead quality, ranks which clients an agent should contact next, and surfaces relevant property suggestions in real time. A coaching module lets new agents rehearse simulated sales calls and receive structured feedback before speaking with real clients.</t>
  </si>
  <si>
    <t>231000861</t>
  </si>
  <si>
    <t>Y.alaa2361@nu.edu.eg</t>
  </si>
  <si>
    <t>231000604</t>
  </si>
  <si>
    <t>Y.Elish2304@nu.edu.eg</t>
  </si>
  <si>
    <t>231001571</t>
  </si>
  <si>
    <t>Y.Amir2371@nu.edu.eg</t>
  </si>
  <si>
    <t>231002758</t>
  </si>
  <si>
    <t>Rodina Ahmed</t>
  </si>
  <si>
    <t>r.ahmed2358@nu.edu.eg</t>
  </si>
  <si>
    <t>ITCS-GP26-20</t>
  </si>
  <si>
    <t>Spatial Computing and Holographic Interaction</t>
  </si>
  <si>
    <t>This project proposes the development of an interactive visualisation display system. The system create a floating 3D that users can interact with using hand gestures or touch input, while also being able to ask questions about the artifact using AI voice technology.</t>
  </si>
  <si>
    <t>231001653</t>
  </si>
  <si>
    <t>N.Abdalla2353@nu.edu.eg</t>
  </si>
  <si>
    <t>231001745</t>
  </si>
  <si>
    <t>m.mohamed2345@nu.edu.eg</t>
  </si>
  <si>
    <t>231001398</t>
  </si>
  <si>
    <t>T.Ahmed2398@nu.edu.eg</t>
  </si>
  <si>
    <t>231000625</t>
  </si>
  <si>
    <t>S.Tamer2325@nu.edu.eg</t>
  </si>
  <si>
    <t>231000939</t>
  </si>
  <si>
    <t>Habiba Ayman Ahmed</t>
  </si>
  <si>
    <t>H.ayman2339@nu.edu.eg</t>
  </si>
  <si>
    <t>ITCS-GP26-21</t>
  </si>
  <si>
    <t>Prof. Mustafa A. Elattar</t>
  </si>
  <si>
    <t>AI-Powered Smart Assistant for Visually Impaired People</t>
  </si>
  <si>
    <t>This project aims to develop an AI-powered assistive system for visually impaired individuals using smart glasses equipped with a camera and a mobile application. The system leverages Computer Vision, Natural Language Processing (NLP), and voice interaction technologies to analyze the user's surroundings in real time and provide intelligent audio assistance.  The proposed solution will be capable of describing scenes, detecting obstacles, locating specific objects, reading text using OCR, and interacting naturally with users through a voice-based AI assistant. Additionally, we aim to explore a guided navigation feature that helps users reach visible objects through simple voice instructions.</t>
  </si>
  <si>
    <t>231000619</t>
  </si>
  <si>
    <t>o.ibrahim2319@nu.edu.eg</t>
  </si>
  <si>
    <t>231000202</t>
  </si>
  <si>
    <t>a.abdelnasser2302@nu.edu.eg</t>
  </si>
  <si>
    <t>231001677</t>
  </si>
  <si>
    <t>m.ehab2377@nu.edu.eg</t>
  </si>
  <si>
    <t>231001331</t>
  </si>
  <si>
    <t>s.wilson2331@nu.edu.eg</t>
  </si>
  <si>
    <t>231002084</t>
  </si>
  <si>
    <t>m.Ayman2384@nu.edu.eg</t>
  </si>
  <si>
    <t>231000572</t>
  </si>
  <si>
    <t>Mohamed Ashraf Allam</t>
  </si>
  <si>
    <t>M.ashraf2372@nu.edu.eg</t>
  </si>
  <si>
    <t>ITCS-GP26-22</t>
  </si>
  <si>
    <t>Autonomous multi agent platform for financial decisions</t>
  </si>
  <si>
    <t>231001388</t>
  </si>
  <si>
    <t>A.Shaban2388@nu.edu.eg</t>
  </si>
  <si>
    <t>231000176</t>
  </si>
  <si>
    <t>H.saad2376@nu.edu.eg</t>
  </si>
  <si>
    <t>231001000</t>
  </si>
  <si>
    <t>A.wesam2300@nu.edu.eg</t>
  </si>
  <si>
    <t>231000802</t>
  </si>
  <si>
    <t>o.emad2302@nu.edu.eg</t>
  </si>
  <si>
    <t>231000571</t>
  </si>
  <si>
    <t>S.ahmed2371@nu.edu.eg</t>
  </si>
  <si>
    <t>231000045</t>
  </si>
  <si>
    <t>Amr Sherif</t>
  </si>
  <si>
    <t>a.sherif2345@nu.edu.eg</t>
  </si>
  <si>
    <t>ITCS-GP26-23</t>
  </si>
  <si>
    <t>Prof. Ahmed Hazem El Mahdy</t>
  </si>
  <si>
    <t>Quantum applications in finance</t>
  </si>
  <si>
    <t>231000272</t>
  </si>
  <si>
    <t>B.Mohammed2372@nu.edu.eg</t>
  </si>
  <si>
    <t>231001296</t>
  </si>
  <si>
    <t>A.Ahmed2396@nu.edu.eg</t>
  </si>
  <si>
    <t>231000313</t>
  </si>
  <si>
    <t>A.Ahmad2313@nu.edu.eg</t>
  </si>
  <si>
    <t>231000071</t>
  </si>
  <si>
    <t>Salma Sherif Assem</t>
  </si>
  <si>
    <t>s.sherif2371@nu.edu.eg</t>
  </si>
  <si>
    <t>ITCS-GP26-24</t>
  </si>
  <si>
    <t>Student Performance Tracking System</t>
  </si>
  <si>
    <t>The proposed project is a Student Performance Tracking System designed to help university students monitor their academic performance and stay on track toward achieving their target GPA. The system enables students to enter and manage their course grades, credits, and academic goals, then calculates their current GPA and predicts the grades required in future assessments or courses to reach their desired GPA.  The application also provides progress tracking through dashboards and visual reports, allowing students to identify strengths, weaknesses, and areas that require improvement. In addition, the system can send reminders for upcoming assignments, quizzes, and exams to encourage better time management and academic planning.  The project aims to support students in making informed academic decisions, improving their study strategies, and increasing their chances of achieving their graduation and career goals through continuous performance monitoring and personalized progress analysis.</t>
  </si>
  <si>
    <t>231000076</t>
  </si>
  <si>
    <t>H.Mostafa2376@nu.edu.eg</t>
  </si>
  <si>
    <t>231001930</t>
  </si>
  <si>
    <t xml:space="preserve">A.Alaa2330@nu.edu.eg </t>
  </si>
  <si>
    <t>231001590</t>
  </si>
  <si>
    <t>S.ashraf2390@nu.edu.eg</t>
  </si>
  <si>
    <t>231000357</t>
  </si>
  <si>
    <t>I.Mohammed2357@nu.edu.eg</t>
  </si>
  <si>
    <t xml:space="preserve"> 231000719</t>
  </si>
  <si>
    <t>A.Ahmed2319@nu.edu.eg</t>
  </si>
  <si>
    <t xml:space="preserve">231000936 </t>
  </si>
  <si>
    <t xml:space="preserve">Doha Waleed Eid </t>
  </si>
  <si>
    <t xml:space="preserve">d.waleed2336@nu.edu.eg </t>
  </si>
  <si>
    <t>ITCS-GP26-25</t>
  </si>
  <si>
    <t xml:space="preserve">Graph Neural Networks for Drug–Target Prediction </t>
  </si>
  <si>
    <t>Develop an explainable AI model that predicts whether a drug will interact with a target protein using Graph Neural Networks and deep learning. The project aims to improve prediction accuracy while providing insights into which molecular features influence the model's decisions</t>
  </si>
  <si>
    <t xml:space="preserve">231001015 </t>
  </si>
  <si>
    <t xml:space="preserve">m.ahmed2315@nu.edu.eg </t>
  </si>
  <si>
    <t xml:space="preserve">231001934 </t>
  </si>
  <si>
    <t>n.hassan2334@nu.edu.eg</t>
  </si>
  <si>
    <t>231002009</t>
  </si>
  <si>
    <t>m.ayman2309@nu.edu.eg</t>
  </si>
  <si>
    <t>221001987</t>
  </si>
  <si>
    <t xml:space="preserve">Ahmed Ayman Elsayedsallam </t>
  </si>
  <si>
    <t>a.ayman2287@nu.edu.eg</t>
  </si>
  <si>
    <t>ITCS-GP26-26</t>
  </si>
  <si>
    <t>TrustDent AI: An Explainable and Confidence-Calibrated Intelligent Dental Diagnosis Assistant</t>
  </si>
  <si>
    <t>Dental diseases affect an estimated 3.5 billion people globally, yet AI-assisted diagnostic tools in dentistry remain largely untrustworthy in clinical practice — not because they lack accuracy, but because they lack transparency. Existing dental AI systems produce predictions without explaining their reasoning, and their confidence scores are statistically miscalibrated: a model reporting 95% confidence may empirically be correct only 70% of the time. TrustDent AI addresses this gap by developing an intelligent dental diagnosis system built on two core scientific pillars: explainable AI (XAI) and calibrated confidence scoring. The system will detect common dental conditions from intraoral images using a deep learning detection model, accompany every prediction with a visual explanation highlighting the image regions that drove the diagnosis, and report a statistically calibrated confidence score that genuinely reflects empirical accuracy. Predictions below a defined trust threshold will be flagged for clinician review. The system will be evaluated on publicly available dental imaging datasets and validated through a small-scale clinician usability study. A web-based interface will allow dental professionals to upload images and receive structured diagnostic reports with full evidence transparency.</t>
  </si>
  <si>
    <t>231001712</t>
  </si>
  <si>
    <t>O.ahmed2312@gmail.com</t>
  </si>
  <si>
    <t>231001688</t>
  </si>
  <si>
    <t>Y.Waleed2388@nu.edu.eg</t>
  </si>
  <si>
    <t>231001884</t>
  </si>
  <si>
    <t>N.yehia2384@nu.edu.eg</t>
  </si>
  <si>
    <t>231000704</t>
  </si>
  <si>
    <t xml:space="preserve">Marwan Ayman Mohammed </t>
  </si>
  <si>
    <t>m.Ayman2304@nu.edu.eg</t>
  </si>
  <si>
    <t>ITCS-GP26-27</t>
  </si>
  <si>
    <t>MedLink</t>
  </si>
  <si>
    <t>MedLink is a smart marketplace platform that connects buyers and sellers of medicines and medical devices. The system aims to help users quickly find needed products, receive availability notifications, communicate securely with sellers, and benefit from AI-powered features such as OCR-based product recognition, alternative product recommendations, and analytics.</t>
  </si>
  <si>
    <t>231002151</t>
  </si>
  <si>
    <t>M.kamal2351@nu.edu.eg</t>
  </si>
  <si>
    <t>231001215</t>
  </si>
  <si>
    <t>M.bassel2315@nu.edu.eg</t>
  </si>
  <si>
    <t>231000496</t>
  </si>
  <si>
    <t>m.hassan2396@nu.edu.eg</t>
  </si>
  <si>
    <t>N/A</t>
  </si>
  <si>
    <t>231002063</t>
  </si>
  <si>
    <t>M.Ahmed2363@nu.edu.eg</t>
  </si>
  <si>
    <t>231000685</t>
  </si>
  <si>
    <t>Malak Mahmoud Salama</t>
  </si>
  <si>
    <t>M.mahmoud2385@nu.edu.eg</t>
  </si>
  <si>
    <t>ITCS-GP26-28</t>
  </si>
  <si>
    <t>AI-Driven Intelligent Healthcare Application for Autoimmune Disease Monitoring and Early Flare Prediction</t>
  </si>
  <si>
    <t>Autoimmune diseases are chronic conditions in which the immune system mistakenly attacks healthy tissues, resulting in unpredictable disease flare-ups and periods of remission. Effective management requires continuous monitoring of symptoms, laboratory results, medication adherence, and lifestyle factors. However, existing solutions often focus on basic record keeping rather than providing intelligent, personalized insights.  This project proposes the development of an AI-powered Autoimmune Disease Management Platform designed to support both patients and healthcare professionals. The platform will enable patients to securely track symptoms, medications, laboratory results, daily activities, sleep quality, stress levels, nutrition, and other health-related factors through an intuitive mobile application. When available, the system can also integrate data from wearable devices, such as heart rate, physical activity, sleep patterns, and body temperature, to provide a more comprehensive view of the patient's health.  Using machine learning and predictive analytics, the platform will analyze historical and real-time patient data to estimate the risk of future disease flare-ups, identify potential triggers, and generate early warning alerts before symptoms worsen. The system will provide personalized health insights, medication and appointment reminders, progress visualization dashboards, and AI-generated summaries that can assist healthcare providers during clinical visits.  Additionally, the platform will incorporate an intelligent virtual health assistant capable of answering common patient questions, explaining laboratory results in simplified language, and offering evidence-based self-management guidance. By combining continuous health monitoring, wearable technology, artificial intelligence, and clinical decision support, the proposed solution aims to promote proactive disease management, improve treatment adherence, enhance communication between patients and healthcare providers, and ultimately improve the quality of life for individuals living with autoimmune diseases.</t>
  </si>
  <si>
    <t>231001081</t>
  </si>
  <si>
    <t>E.Nabil2381@nu.edu.eg</t>
  </si>
  <si>
    <t>231000273</t>
  </si>
  <si>
    <t>R.Amr2373@nu.edu.eg</t>
  </si>
  <si>
    <t>231001822</t>
  </si>
  <si>
    <t>n.abdelal2322@nu.edu.eg</t>
  </si>
  <si>
    <t>231000634</t>
  </si>
  <si>
    <t>m.chaaban2333@nu.edu.eg</t>
  </si>
  <si>
    <t>231001334</t>
  </si>
  <si>
    <t>Rania Ossama Hassan</t>
  </si>
  <si>
    <t>R.Ossama2334@nu.edu.eg</t>
  </si>
  <si>
    <t>ITCS-GP26-29</t>
  </si>
  <si>
    <t>AI-Driven IoT Platform for Predictive Hospital Operations and Patient Safety</t>
  </si>
  <si>
    <t>This project proposes an intelligent hospital platform that combines IoT devices with Artificial Intelligence to predict potential risks before they occur. Instead of only monitoring patients and hospital resources, the system analyzes real-time sensor data to detect abnormal patient conditions, anticipate equipment failures, and identify resource shortages. By providing predictive alerts and decision support, the platform enables healthcare providers to take proactive actions, improving patient safety, reducing operational disruptions, and enhancing hospital efficiency.</t>
  </si>
  <si>
    <t>231001086</t>
  </si>
  <si>
    <t>Y.Mahmoud2386@nu.edu.eg</t>
  </si>
  <si>
    <t>231000399</t>
  </si>
  <si>
    <t>M.Hamada2399@nu.edu.eg</t>
  </si>
  <si>
    <t>231001310</t>
  </si>
  <si>
    <t>D.Yaser2310@nu.edu.eg</t>
  </si>
  <si>
    <t>231001161</t>
  </si>
  <si>
    <t>A.Ramadan2361@nu.edu.eg</t>
  </si>
  <si>
    <t>231000958</t>
  </si>
  <si>
    <t>O.Mohamed2358@nu.edu.eg</t>
  </si>
  <si>
    <t>231001040</t>
  </si>
  <si>
    <t>Ali Essam ali</t>
  </si>
  <si>
    <t>a.essam2340@nu.edu.eg</t>
  </si>
  <si>
    <t>ITCS-GP26-30</t>
  </si>
  <si>
    <t>Proactive Vehicle Fault Detection and Diagnostics</t>
  </si>
  <si>
    <t xml:space="preserve"> 231001131</t>
  </si>
  <si>
    <t>P.Ayman2331@nu.edu.eg</t>
  </si>
  <si>
    <t>231002081</t>
  </si>
  <si>
    <t>B.Eldein2381@nu.edu.eg</t>
  </si>
  <si>
    <t>231002243</t>
  </si>
  <si>
    <t xml:space="preserve">Maysoun Hassan </t>
  </si>
  <si>
    <t>M.Hassan2343@nu.edu.eg</t>
  </si>
  <si>
    <t>ITCS-GP26-31</t>
  </si>
  <si>
    <t>3D Virtual Reality System for Stroke Rehabilitation</t>
  </si>
  <si>
    <t>This project proposes a 3D Virtual Reality system designed for stroke rehabilitation. The system provides a virtual environment where patients can perform therapeutic exercises in the form of interactive games.  Instead of doing traditional physical exercises, patients perform tasks in a virtual world such as:  Reaching and grabbing objects Moving virtual arms Completing simple movement-based challenges</t>
  </si>
  <si>
    <t>231001602</t>
  </si>
  <si>
    <t>M.Gamal2302@nu.edu.eg</t>
  </si>
  <si>
    <t>231001654</t>
  </si>
  <si>
    <t>Y.Ahmed2354@nu.edu.eg</t>
  </si>
  <si>
    <t>231001039</t>
  </si>
  <si>
    <t>Z.Mohamed2339@nu.edu.eg</t>
  </si>
  <si>
    <t>231001484</t>
  </si>
  <si>
    <t>M.Sameh2384@nu.edu.eg</t>
  </si>
  <si>
    <t>231000021</t>
  </si>
  <si>
    <t>Omar Adlan</t>
  </si>
  <si>
    <t>O.Mohamed2321@nu.edu.eg</t>
  </si>
  <si>
    <t>ITCS-GP26-32</t>
  </si>
  <si>
    <t>Abdelrahman Lotfy</t>
  </si>
  <si>
    <t>AI-Powered Family &amp; Safety Tracking System</t>
  </si>
  <si>
    <t>SafePath AI is a smart safety ecosystem that combines GPS hardware, mobile apps, cloud infrastructure, and AI-powered analytics to provide real-time tracking, emergency alerts, abnormal movement detection, geofencing, and safety monitoring for families, individuals, and organizations.</t>
  </si>
  <si>
    <t>231001114</t>
  </si>
  <si>
    <t>m.adel2314@nu.edu.eg</t>
  </si>
  <si>
    <t>Malak Magdy</t>
  </si>
  <si>
    <t>231001243</t>
  </si>
  <si>
    <t>Y.hassan2343@nu.edu.eg</t>
  </si>
  <si>
    <t>231000615</t>
  </si>
  <si>
    <t>Y.Mahmoud2315@nu.edu.eg</t>
  </si>
  <si>
    <t>231001055</t>
  </si>
  <si>
    <t>K.mohamed2355@nu.edu.eg</t>
  </si>
  <si>
    <t>231001686</t>
  </si>
  <si>
    <t>Wesal magdy</t>
  </si>
  <si>
    <t xml:space="preserve"> W.magdy2386@nu.edu.eg</t>
  </si>
  <si>
    <t>ITCS-GP26-33</t>
  </si>
  <si>
    <t>Youssef hisham abdelwahab</t>
  </si>
  <si>
    <t>Reinforcement Learning for Molecular Quantum Modeling</t>
  </si>
  <si>
    <t>A full-stack computational research platform inspired by the core concepts of Schrödinger's ecosystem, allowing researchers to design and run molecular simulations, manage research projects, and visualize molecular structures. The platform uses reinforcement learning techniques to optimize simulations, and improve computational efficiency</t>
  </si>
  <si>
    <t>231001373</t>
  </si>
  <si>
    <t>R.mohamed2373@nu.edu.eg</t>
  </si>
  <si>
    <t>231001397</t>
  </si>
  <si>
    <t xml:space="preserve"> R.mohsen2397@nu.edu.eg</t>
  </si>
  <si>
    <t>231000793</t>
  </si>
  <si>
    <t xml:space="preserve"> S.Mohamed2393@nu.edu.eg</t>
  </si>
  <si>
    <t xml:space="preserve">231000897  </t>
  </si>
  <si>
    <t xml:space="preserve">  r.medhat2397@nu.edu.eg</t>
  </si>
  <si>
    <t xml:space="preserve">231001119 </t>
  </si>
  <si>
    <t xml:space="preserve"> O.khaled2319@nu.edu.eg</t>
  </si>
  <si>
    <t>231000847</t>
  </si>
  <si>
    <t>Youssef mohamed ezzeldin mohamed</t>
  </si>
  <si>
    <t>y.barakat2347@nu.edu.eg</t>
  </si>
  <si>
    <t>ITCS-GP26-34</t>
  </si>
  <si>
    <t>Ophthalmology Clinical Decision Support Agent</t>
  </si>
  <si>
    <t>231001352</t>
  </si>
  <si>
    <t>Y.adel2352@nu.edu.eg</t>
  </si>
  <si>
    <t>231001620</t>
  </si>
  <si>
    <t>S.Mahmoud2320@nu.edu.eg</t>
  </si>
  <si>
    <t>231001526</t>
  </si>
  <si>
    <t>N.Sameh2326@nu.edu.eg</t>
  </si>
  <si>
    <t>231001311</t>
  </si>
  <si>
    <t>N.khaled2311@nu.edu.eg</t>
  </si>
  <si>
    <t>231000161</t>
  </si>
  <si>
    <t>Mostafa bebars</t>
  </si>
  <si>
    <t>M.atef2361@nu.edu.eg</t>
  </si>
  <si>
    <t>ITCS-GP26-35</t>
  </si>
  <si>
    <t>AI-Powered E-Commerce Management Platform</t>
  </si>
  <si>
    <t>231000514</t>
  </si>
  <si>
    <t>A.khaled2314@nu.edu.eg</t>
  </si>
  <si>
    <t>231000661</t>
  </si>
  <si>
    <t>O.tamer2361@nu.edu.eg</t>
  </si>
  <si>
    <t>231002163</t>
  </si>
  <si>
    <t>F.haitam2363@nu.edu.eg</t>
  </si>
  <si>
    <t>231000848</t>
  </si>
  <si>
    <t>H.hazem2348@nu.edu.eg</t>
  </si>
  <si>
    <t>231000614</t>
  </si>
  <si>
    <t>M.ahmed2314@nu.edu.eg</t>
  </si>
  <si>
    <t>231000165</t>
  </si>
  <si>
    <t>Reem Khaled Ali Borham</t>
  </si>
  <si>
    <t>R.Khaled2365@nu.edu.eg</t>
  </si>
  <si>
    <t>ITCS-GP26-36</t>
  </si>
  <si>
    <t>AI and Quantum-Hybrid Digital Twin Architecture for Predictive Smart Energy  Management and Grid Optimization</t>
  </si>
  <si>
    <t xml:space="preserve"> Modern smart grids face unprecedented operational challenges due to the volatile nature  of renewable energy sources, shifting consumer demand, and extreme climate events.  Current management systems rely on fragmented tools that treat forecasting, grid  simulation, and resource allocation as isolated processes—creating delays in critical  decision-making.  This platform addresses these inefficiencies by integrating Artificial Intelligence (AI),  Digital Twin simulation, and Quantum-Hybrid optimization into a single real-time  decision-making pipeline.  The platform leverages advanced AI models to generate high-accuracy demand and  renewable energy forecasts while modeling future uncertainty. It replicates physical  power infrastructure through a dynamic Digital Twin, enabling operators to safely  simulate stress scenarios—such as heatwaves, sudden supply shortages, or equipment  failures—without risking real-world downtime. To solve complex, large-scale resource  allocation problems, the platform utilizes quantum-hybrid algorithms to optimize power  dispatch, battery storage scheduling, and grid routing, simultaneously minimizing carbon  emissions and operational costs.  Guided by an intuitive interactive dashboard, smart automated alerting, and an AI powered Decision Support Assistant that translates complex mathematical outputs into  plain-language actionable insights, this intelligent platform equips energy operators to  build more resilient, cost-effective, and sustainable power grids.</t>
  </si>
  <si>
    <t>231001497</t>
  </si>
  <si>
    <t>S.Ahmed2397@nu.edu.eg</t>
  </si>
  <si>
    <t>231000778</t>
  </si>
  <si>
    <t>M.Mohamed2378@nu.edu.eg</t>
  </si>
  <si>
    <t>231000697</t>
  </si>
  <si>
    <t>S.Mostafa2397@nu.edu.eg</t>
  </si>
  <si>
    <t>231000853</t>
  </si>
  <si>
    <t>n.amer2353@nu.edu.eg</t>
  </si>
  <si>
    <t>231001317</t>
  </si>
  <si>
    <t>i.ahmed2317@nu.edu.eg</t>
  </si>
  <si>
    <t>231001234</t>
  </si>
  <si>
    <t>Nedaa Abdelmotlep Mahmoud</t>
  </si>
  <si>
    <t>n.abdelmotlep2334@nu.edu.eg</t>
  </si>
  <si>
    <t>ITCS-GP26-37</t>
  </si>
  <si>
    <t>Salahny- صلحني</t>
  </si>
  <si>
    <t>Our graduation project is to develop a mobile application that brings together tradespeople from a wide range of trades on one platform. The app will make it easier for users to find, compare, and communicate with tradespeople such as plumbers, electricians, carpenters, painters, mechanics, and many others.  The main goal is to simplify the process of finding reliable service providers, save users time and effort, and provide a convenient way to contact and hire the right tradesperson based on their needs.</t>
  </si>
  <si>
    <t>231001120</t>
  </si>
  <si>
    <t>m.amir2320@nu.edu.eg</t>
  </si>
  <si>
    <t>231001044</t>
  </si>
  <si>
    <t>a.essam2344@nu.edu.eg</t>
  </si>
  <si>
    <t>231001168</t>
  </si>
  <si>
    <t>a.amr2368@nu.edu.eg</t>
  </si>
  <si>
    <t>231000943</t>
  </si>
  <si>
    <t>M.Tamer2343@nu.edu.eg</t>
  </si>
  <si>
    <t>231002502</t>
  </si>
  <si>
    <t>Abdulrahman Husni Obaisi</t>
  </si>
  <si>
    <t>a.husni2302@nu.edu.eg</t>
  </si>
  <si>
    <t>ITCS-GP26-38</t>
  </si>
  <si>
    <t>Data-Driven Dental Analytics and Decision System</t>
  </si>
  <si>
    <t>This project aims to develop a data-driven decision support system for dental healthcare by collecting, organizing, and analyzing dental-related data. The system will provide analytical insights and visual reports to support decision-making, improve workflow efficiency, and enhance the quality of dental services. The exact features, analytical methods, and implementation details will be determined during the project development phase based on the identified requirements and available data</t>
  </si>
  <si>
    <t>231002054</t>
  </si>
  <si>
    <t>y.mokhtar2354@nu.edu.eg</t>
  </si>
  <si>
    <t>19100540</t>
  </si>
  <si>
    <t>as.adel@nu.edu.eg</t>
  </si>
  <si>
    <t>231001339</t>
  </si>
  <si>
    <t>y.ahmed2339@nu.edu.eg</t>
  </si>
  <si>
    <t>231000567</t>
  </si>
  <si>
    <t xml:space="preserve">B.Mohamed2367@nu.edu.eg </t>
  </si>
  <si>
    <t>231001096</t>
  </si>
  <si>
    <t>Mohamed Amr Mohamed Youssef (team leader)</t>
  </si>
  <si>
    <t>M.amr2396@nu.edu.eg</t>
  </si>
  <si>
    <t>ITCS-GP26-39</t>
  </si>
  <si>
    <t>Fixroute</t>
  </si>
  <si>
    <t>FixRoute is an intelligent platform that analyzes engine images and sounds to diagnose mechanical faults, paired with a portable sensor placed on the chassis to detect repainted areas. It delivers a comprehensive inspection report detailing all issues, while recommending the nearest specialized maintenance centers complete with their names and user ratings.</t>
  </si>
  <si>
    <t>231000682</t>
  </si>
  <si>
    <t>B.magdy2382@nu.edu.eg</t>
  </si>
  <si>
    <t>231001122</t>
  </si>
  <si>
    <t>S.ibrahim2322@nu.edu.eg</t>
  </si>
  <si>
    <t>231001181</t>
  </si>
  <si>
    <t>A.sameh2381@nu.edu.eg</t>
  </si>
  <si>
    <t>231000016</t>
  </si>
  <si>
    <t>Y.mohamed2316@nu.edu.eg</t>
  </si>
  <si>
    <t>231000636</t>
  </si>
  <si>
    <t>Shaza Khaled Abdelsalam</t>
  </si>
  <si>
    <t>s.khaled2336@nu.edu.eg</t>
  </si>
  <si>
    <t>ITCS-GP26-40</t>
  </si>
  <si>
    <t>VR-Based Simulation of Prosthetic Vision With AI Scene Simplification</t>
  </si>
  <si>
    <t>231000856</t>
  </si>
  <si>
    <t>N.Hossam2356@nu.edu.eg</t>
  </si>
  <si>
    <t>231000521</t>
  </si>
  <si>
    <t>Y.Adel2321@nu.edu.eg</t>
  </si>
  <si>
    <t>231000894</t>
  </si>
  <si>
    <t>G.Maher2394@nu.edu.eg</t>
  </si>
  <si>
    <t>231000711</t>
  </si>
  <si>
    <t>H.Khaled2311@nu.edu.eg</t>
  </si>
  <si>
    <t>231001118</t>
  </si>
  <si>
    <t>Mohamed Hussien</t>
  </si>
  <si>
    <t>m.al2318@nu.edu.eg</t>
  </si>
  <si>
    <t>ITCS-GP26-41</t>
  </si>
  <si>
    <t>AI-Powered Intelligent Platform for Real-Time Multi-Disease Detection, Prioritization, and Clinical Decision Support</t>
  </si>
  <si>
    <t>231001089</t>
  </si>
  <si>
    <t>S.Mohsen2389@nu.edu.eg</t>
  </si>
  <si>
    <t>231001343</t>
  </si>
  <si>
    <t>A.Ahmed2343@nu.edu.eg</t>
  </si>
  <si>
    <t>231000116</t>
  </si>
  <si>
    <t>E.adel2316@nu.edu.eg</t>
  </si>
  <si>
    <t>221002164</t>
  </si>
  <si>
    <t xml:space="preserve">Mohamed samir Mohamed </t>
  </si>
  <si>
    <t>m.samir2264@nu.edu.eg</t>
  </si>
  <si>
    <t>ITCS-GP26-42</t>
  </si>
  <si>
    <t>Mohamed Galal</t>
  </si>
  <si>
    <t>AI Digital Twin of Human Immune System for Disease Progression Simulation</t>
  </si>
  <si>
    <t>231001088</t>
  </si>
  <si>
    <t>a.amr2388@nu.edu.eg</t>
  </si>
  <si>
    <t>231001502</t>
  </si>
  <si>
    <t>A.Taher2302@nu.edu.eg</t>
  </si>
  <si>
    <t>231002292</t>
  </si>
  <si>
    <t>S.Sayed2392@nu.edu.eg</t>
  </si>
  <si>
    <t>231000915</t>
  </si>
  <si>
    <t>A.khaled2315@nu.edu.eg</t>
  </si>
  <si>
    <t>231001242</t>
  </si>
  <si>
    <t>Omar Tarek Amer</t>
  </si>
  <si>
    <t>O.Tarek2342@nu.edu.eg</t>
  </si>
  <si>
    <t>ITCS-GP26-43</t>
  </si>
  <si>
    <t>Academic Course Offering Planning System</t>
  </si>
  <si>
    <t>231000635</t>
  </si>
  <si>
    <t>H.salah2335@nu.edu.eg</t>
  </si>
  <si>
    <t>231000132</t>
  </si>
  <si>
    <t>A.Bassem2332@nu.edu.eg</t>
  </si>
  <si>
    <t>231002427</t>
  </si>
  <si>
    <t>K.walid2327@nu.edu.eg</t>
  </si>
  <si>
    <t>231000733</t>
  </si>
  <si>
    <t>A.Essam2333@nu.edu.eg</t>
  </si>
  <si>
    <t>231002716</t>
  </si>
  <si>
    <t>amro ayman abbary</t>
  </si>
  <si>
    <t>a.ayman2316@nu.edu.eg</t>
  </si>
  <si>
    <t>ITCS-GP26-44</t>
  </si>
  <si>
    <t xml:space="preserve">Prof. Heba Kamal Aslan Abu Sobieh </t>
  </si>
  <si>
    <t>Privacy-Preserving Data Sharing Platform</t>
  </si>
  <si>
    <t>231002792</t>
  </si>
  <si>
    <t>youssif sayed ali</t>
  </si>
  <si>
    <t>231000180</t>
  </si>
  <si>
    <t xml:space="preserve">youssef ashraf mahmoud </t>
  </si>
  <si>
    <t>231000410</t>
  </si>
  <si>
    <t>Mohamed Khaled Wanis</t>
  </si>
  <si>
    <t>M.khaled2310@nu.edu.eg</t>
  </si>
  <si>
    <t>ITCS-GP26-45</t>
  </si>
  <si>
    <t xml:space="preserve"> Prof. Islam Tharwat Abdelhalim</t>
  </si>
  <si>
    <t>Amr Abdulaal</t>
  </si>
  <si>
    <t>Generative AI Platform for Government Marketing and Public Awareness Content</t>
  </si>
  <si>
    <t>241000268</t>
  </si>
  <si>
    <t>Y.ehab2468@nu.edu.eg</t>
  </si>
  <si>
    <t>231000380</t>
  </si>
  <si>
    <t>M.magdy2380@nu.edu.eg</t>
  </si>
  <si>
    <t>231001438</t>
  </si>
  <si>
    <t>Z.MKhalaf2338@nu.edu.eg</t>
  </si>
  <si>
    <t>231000375</t>
  </si>
  <si>
    <t>Assem mostafa mohamed</t>
  </si>
  <si>
    <t>A.Mostafa2375@nu.edu.eg</t>
  </si>
  <si>
    <t>ITCS-GP26-46</t>
  </si>
  <si>
    <t xml:space="preserve">Prof. Islam Tharwat Abdelhalim </t>
  </si>
  <si>
    <t>Cybersecurity-Compliant Secure Artificial Intelligence Framework</t>
  </si>
  <si>
    <t>231001500</t>
  </si>
  <si>
    <t>M.khalid2300@nu.edu.eg</t>
  </si>
  <si>
    <t>231000995</t>
  </si>
  <si>
    <t>t.yahia2395@nu.edu.eg</t>
  </si>
  <si>
    <t>221000427</t>
  </si>
  <si>
    <t>y.hany2227@nu.edu.eg</t>
  </si>
  <si>
    <t>231000369</t>
  </si>
  <si>
    <t>Islam hamdy mohammed</t>
  </si>
  <si>
    <t>i.hamdy2369@nu.edu.eg</t>
  </si>
  <si>
    <t>ITCS-GP26-47</t>
  </si>
  <si>
    <t>AI Security Assessment and Vulnerability Detection Toolkit</t>
  </si>
  <si>
    <t>231001212</t>
  </si>
  <si>
    <t>y.mohmed2312@nu.edu.eg</t>
  </si>
  <si>
    <t>231000910</t>
  </si>
  <si>
    <t>b.ramy2310@nu.edu.eg</t>
  </si>
  <si>
    <t>231001778</t>
  </si>
  <si>
    <t>s.salah2378@nu.edu.eg</t>
  </si>
  <si>
    <t>a.mohamed2352@nu.edu..eg</t>
  </si>
  <si>
    <t>231002115</t>
  </si>
  <si>
    <t>Mahmoud Ahmed Farag</t>
  </si>
  <si>
    <t>M.Farag2315@nu.edu.eg</t>
  </si>
  <si>
    <t>ITCS-GP26-48</t>
  </si>
  <si>
    <t>Prof. Alaa Fathy Sheta</t>
  </si>
  <si>
    <t>Deep Learning-Based Skin Cancer Diagnosis from Dermoscopic Images</t>
  </si>
  <si>
    <t>231002150</t>
  </si>
  <si>
    <t>m.abdelrauf2350@nu.edu.eg</t>
  </si>
  <si>
    <t>231002142</t>
  </si>
  <si>
    <t>a.mohamed2342@nu.edu.eg</t>
  </si>
  <si>
    <t>231001577</t>
  </si>
  <si>
    <t>P.Safwat2377@nu.edu.eg</t>
  </si>
  <si>
    <t>231001117</t>
  </si>
  <si>
    <t>k.wageh2317@nu.edu.eg</t>
  </si>
  <si>
    <t>231001075</t>
  </si>
  <si>
    <t>M.Ahmed2375@nu.edu.eg</t>
  </si>
  <si>
    <t>221000348</t>
  </si>
  <si>
    <t>Salem Attia</t>
  </si>
  <si>
    <t>S.walaa2248@nu.edu.eg</t>
  </si>
  <si>
    <t>ITCS-GP26-49</t>
  </si>
  <si>
    <t>TradePulse: A Real-Time Intraday Trading Intelligence Platform</t>
  </si>
  <si>
    <t>221000019</t>
  </si>
  <si>
    <t>A.hesham2219@nu.edu.eg</t>
  </si>
  <si>
    <t>231000993</t>
  </si>
  <si>
    <t>M.sayed2393@nu.edu.eg</t>
  </si>
  <si>
    <t>231000008</t>
  </si>
  <si>
    <t>F.amer2308@nu.edu.eg</t>
  </si>
  <si>
    <t>231000200</t>
  </si>
  <si>
    <t>H.mohamed2300@nu.edu.eg</t>
  </si>
  <si>
    <t>231001306</t>
  </si>
  <si>
    <t xml:space="preserve">Noureen Zafan </t>
  </si>
  <si>
    <t>n.lotfy2306@nu.edu.eg</t>
  </si>
  <si>
    <t>ITCS-GP26-50</t>
  </si>
  <si>
    <t>Can AI Be Certain? Uncertainty-Aware Explainability for Trustworthy Medical Image Diagnosis</t>
  </si>
  <si>
    <t>231001404</t>
  </si>
  <si>
    <t>m.atef2304@nu.edu.eg</t>
  </si>
  <si>
    <t>231000276</t>
  </si>
  <si>
    <t>a.mostafa2376@nu.edu.eg</t>
  </si>
  <si>
    <t>231001282</t>
  </si>
  <si>
    <t>N.Ayman2382@nu.edu.eg</t>
  </si>
  <si>
    <t>231000032</t>
  </si>
  <si>
    <t>Farida Abdelmonem</t>
  </si>
  <si>
    <t>f.haitham2332@nu.edu.eg</t>
  </si>
  <si>
    <t>ITCS-GP26-51</t>
  </si>
  <si>
    <t>Voice-Guided Programming Tutor for Blind Students</t>
  </si>
  <si>
    <t>231000063</t>
  </si>
  <si>
    <t>f.Abdullah2363@nu.edu.eg</t>
  </si>
  <si>
    <t>231000677</t>
  </si>
  <si>
    <t>M.Awaad2377@nu.edu.eg</t>
  </si>
  <si>
    <t>231000040</t>
  </si>
  <si>
    <t>h.khaled2340@nu.edu.eg</t>
  </si>
  <si>
    <t>231000005</t>
  </si>
  <si>
    <t>Seif Eldeen Youssef Abdullah</t>
  </si>
  <si>
    <t>s.youssef2305@nu.edu.eg</t>
  </si>
  <si>
    <t>ITCS-GP26-52</t>
  </si>
  <si>
    <t>An AI-Powered Bilingual Computational Journalism Platform for Arabic and English Media Analysis, Semantic Retrieval, and Misinformation Detection</t>
  </si>
  <si>
    <t>231000489</t>
  </si>
  <si>
    <t>M.abdelhady2389@nu.edu.eg</t>
  </si>
  <si>
    <t>231000107</t>
  </si>
  <si>
    <t>Y.mohamed2307@nu.edu.eg</t>
  </si>
  <si>
    <t>231001623</t>
  </si>
  <si>
    <t>A.hany2323@nu.edu.eg</t>
  </si>
  <si>
    <t>231001537</t>
  </si>
  <si>
    <t>K.ahmed2337@nu.edu.eg</t>
  </si>
  <si>
    <t>231000792</t>
  </si>
  <si>
    <t>Ramy Mohamed Kamal</t>
  </si>
  <si>
    <t>r.mohamed2392@nu.edu.eg</t>
  </si>
  <si>
    <t>ITCS-GP26-53</t>
  </si>
  <si>
    <t>AI-Powered Smart Legal Assistant and Virtual Law Office</t>
  </si>
  <si>
    <t>231000705</t>
  </si>
  <si>
    <t>s.essam2305@nu.edu.eg</t>
  </si>
  <si>
    <t>231000810</t>
  </si>
  <si>
    <t>M.Abdelhamed2310@nu.edu.eg</t>
  </si>
  <si>
    <t>231000798</t>
  </si>
  <si>
    <t>Y.Mohamed2398@nu.edu.eg</t>
  </si>
  <si>
    <t>231000968</t>
  </si>
  <si>
    <t>Y.Khaled2368@nu.edu.eg</t>
  </si>
  <si>
    <t>J.Amr2313@nu.edu.eg</t>
  </si>
  <si>
    <t>231001198</t>
  </si>
  <si>
    <t>Omar Wafa</t>
  </si>
  <si>
    <t>O.Hossam2398@nu.edu.eg</t>
  </si>
  <si>
    <t>ITCS-GP26-54</t>
  </si>
  <si>
    <t>Securely Updating Vehicle Software</t>
  </si>
  <si>
    <t>231000826</t>
  </si>
  <si>
    <t>e.mohamed2326@nu.edu.eg</t>
  </si>
  <si>
    <t>231000893</t>
  </si>
  <si>
    <t>M.Ahmed2393@nu.edu.eg</t>
  </si>
  <si>
    <t>Omar Amr</t>
  </si>
  <si>
    <t>o.amr2289@nu.edu.eg</t>
  </si>
  <si>
    <t>ITCS-GP26-55</t>
  </si>
  <si>
    <t>AI-Based Screening Tool for Retinopathy of Prematurity Using Retinal Images</t>
  </si>
  <si>
    <t>Marwa Ali Youssef</t>
  </si>
  <si>
    <t>mar.ali@nu.edu.eg</t>
  </si>
  <si>
    <t>Badr Eldein Khaled</t>
  </si>
  <si>
    <t>b.khaled2381@nu.edu.eg</t>
  </si>
  <si>
    <t>Rokia Alaa</t>
  </si>
  <si>
    <t>r.Alaaeldin2330@nu.edu.egg</t>
  </si>
  <si>
    <t>Ahmed Mohamed</t>
  </si>
  <si>
    <t>A.Ahmed2102@nu.edu.eg</t>
  </si>
  <si>
    <t>ITCS-GP26-56</t>
  </si>
  <si>
    <t>AI-Driven Multimodal Radiological Analysis for Early Detection, Differential Diagnosis, and Severity Prediction of Sarcoidosis</t>
  </si>
  <si>
    <t>Abdelruhman Magdy Elansary</t>
  </si>
  <si>
    <t>a.magdy2262@nu.edu.eg</t>
  </si>
  <si>
    <t>Loaay Ahmed Mohammed</t>
  </si>
  <si>
    <t>l.ahmed2221@nu.edu.eg</t>
  </si>
  <si>
    <t>Tasnim Maged Salem</t>
  </si>
  <si>
    <t>T.salem2373@nu.edu.eg</t>
  </si>
  <si>
    <t>ITCS-GP26-57</t>
  </si>
  <si>
    <t>AI-Powered Product Purchase Decision Support Platform</t>
  </si>
  <si>
    <t>Mohamed Abdallah Semary</t>
  </si>
  <si>
    <t>m.semary@nu.edu.eg</t>
  </si>
  <si>
    <t>Ahmed Usama Tiba</t>
  </si>
  <si>
    <t>a.usama2269@nu.edu.eg</t>
  </si>
  <si>
    <t>Youssef Helmy Ibrahim</t>
  </si>
  <si>
    <t>y.helmy2334@nu.edu.eg</t>
  </si>
  <si>
    <t xml:space="preserve">Abdallah Mohamed Helmy </t>
  </si>
  <si>
    <t>A.Helmy2137@nu.edu.eg</t>
  </si>
  <si>
    <t>Habiba Ramadan Rabie Ahmed</t>
  </si>
  <si>
    <t>H.Ramadan2311@nu.edu.eg</t>
  </si>
  <si>
    <t>Omar Mohamed Elshafei</t>
  </si>
  <si>
    <t>O.Mohamed2366@nu.edu.eg</t>
  </si>
  <si>
    <t>ITCS-GP26-58</t>
  </si>
  <si>
    <t>Secure Academic Transcript System Using Blockchain</t>
  </si>
  <si>
    <t>Anas Rashwan</t>
  </si>
  <si>
    <t>A.omar2124@nu.edu.eg</t>
  </si>
  <si>
    <t>Ahmed Ayman Ahmed Hegazii</t>
  </si>
  <si>
    <t>A.Ayman2212@nu.edu.eg</t>
  </si>
  <si>
    <t>Amina Mohsen Mohamed</t>
  </si>
  <si>
    <t>A.Mohsen2312@nu.edu.eg</t>
  </si>
  <si>
    <t>Kerollos Emad Helmy</t>
  </si>
  <si>
    <t>k.emad2320@nu.edu.eg</t>
  </si>
  <si>
    <t>ITCS-GP26-59</t>
  </si>
  <si>
    <t>Prof. Sahar Fawzy</t>
  </si>
  <si>
    <t>Yomna Eid</t>
  </si>
  <si>
    <t>AI-Powered Patient Readmission Risk Prediction &amp; Prevention</t>
  </si>
  <si>
    <t>Youssef Khaled Ali</t>
  </si>
  <si>
    <t>Y.khaled2303@nu.edu.eg</t>
  </si>
  <si>
    <t>Ammar Alhassan Ahmed Ismail</t>
  </si>
  <si>
    <t>Ammaralhassan05@gmail.com</t>
  </si>
  <si>
    <t>Marwan Morsy</t>
  </si>
  <si>
    <t>M.2396@nu.edu.eg</t>
  </si>
  <si>
    <t>Menna Mohamed Gaber</t>
  </si>
  <si>
    <t>M.mohamed2331@nu.edu.eg</t>
  </si>
  <si>
    <t>Omar Abdallah Mohamed El Sayed</t>
  </si>
  <si>
    <t>o.abdallah2325@nu.edu.eg</t>
  </si>
  <si>
    <t>ITCS-GP26-60</t>
  </si>
  <si>
    <t>Smart 3D Educational Games</t>
  </si>
  <si>
    <t>Omar Sherif Azmy</t>
  </si>
  <si>
    <t>o.sherif2124@nu.edu.eg</t>
  </si>
  <si>
    <t>Ahmad Yasser Taha</t>
  </si>
  <si>
    <t>a.yasser2230@nu.edu.eg</t>
  </si>
  <si>
    <t>ITCS-GP26-61</t>
  </si>
  <si>
    <t>AI-Driven Multi-Omics Integration for Cancer Biomarker Discovery and Precision Oncology Prediction</t>
  </si>
  <si>
    <t>Ahmed Gamal Mohamed Mohamed Dawood</t>
  </si>
  <si>
    <t>ah.dawood@nu.edu.eg</t>
  </si>
  <si>
    <t>Tasneem Waleed</t>
  </si>
  <si>
    <t>t.waleed2361@nu.edu.eg</t>
  </si>
  <si>
    <t>Donya Mousa</t>
  </si>
  <si>
    <t>D.ashraf2291@nu.edu.eg</t>
  </si>
  <si>
    <t>ITCS-GP26-62</t>
  </si>
  <si>
    <t>Autonomous Robot Simulation for Intelligent Path Planning and Obstacle Avoidance</t>
  </si>
  <si>
    <t>Amr Abdeltwab Soliman</t>
  </si>
  <si>
    <t>a.abdeltwab2340@nu.edu.eg</t>
  </si>
  <si>
    <t>Abdelrahman Mohamed Hassan</t>
  </si>
  <si>
    <t>A.Mohamed2330@nu.edu.eg</t>
  </si>
  <si>
    <t>Asser Ghazi</t>
  </si>
  <si>
    <t>ITCS-GP26-63</t>
  </si>
  <si>
    <t>EduConnect</t>
  </si>
  <si>
    <t>Hussien Badawy</t>
  </si>
  <si>
    <t>Mariam Ghalab</t>
  </si>
  <si>
    <t>Sarah Kandil</t>
  </si>
  <si>
    <t>Alaa Hussien</t>
  </si>
  <si>
    <t>Nada Ibrahim Elghaweet  </t>
  </si>
  <si>
    <t>n.ibrahim2341@nu.edu.eg</t>
  </si>
  <si>
    <t>ITCS-GP26-64</t>
  </si>
  <si>
    <t>SafeCampus</t>
  </si>
  <si>
    <t>Youssef Eldeeb</t>
  </si>
  <si>
    <t>Y.ahmed2364@nu.edu.eg</t>
  </si>
  <si>
    <t>Mohamed Montasser  </t>
  </si>
  <si>
    <t>M.Montasser2343@nu.edu.eg</t>
  </si>
  <si>
    <t>Maya Yassin Anwar  </t>
  </si>
  <si>
    <t>M.Yassin2341@nu.edu.eg</t>
  </si>
  <si>
    <t>Manar Maher Bassiouni</t>
  </si>
  <si>
    <t>M.Maher2381@nu.edu.eg</t>
  </si>
  <si>
    <t>Abdullah El Dakhakhny</t>
  </si>
  <si>
    <t>A.tarek2338@nu.edu.eg</t>
  </si>
  <si>
    <t>Mariam Behairy</t>
  </si>
  <si>
    <t>ITCS-GP26-65</t>
  </si>
  <si>
    <t>TheAPP</t>
  </si>
  <si>
    <t>Mathew Hany</t>
  </si>
  <si>
    <t>Yousef Shoman</t>
  </si>
  <si>
    <t>Mariam Radwan Megahed</t>
  </si>
  <si>
    <t>M.Radwan2363@nu.edu.eg</t>
  </si>
  <si>
    <t>ITCS-GP26-66</t>
  </si>
  <si>
    <t>GESR (جسر)</t>
  </si>
  <si>
    <t>Ola Ahmed Abdellatief Ibrahim</t>
  </si>
  <si>
    <t>O.ahmed2326@nu.edu.eg</t>
  </si>
  <si>
    <t>Habiba Mohamed Bahbah Ahmed</t>
  </si>
  <si>
    <t>H.Mohamed2344@nu.edu.eg</t>
  </si>
  <si>
    <t xml:space="preserve">Yasmin Ahmed Gamal Aboubakr </t>
  </si>
  <si>
    <t>Y.Ahmed2388@nu.edu.eg</t>
  </si>
  <si>
    <t>Salma khaled salama mohamed</t>
  </si>
  <si>
    <t>S.Khaled2333@nu.edu.eg</t>
  </si>
  <si>
    <t>Ahmed Abdellatif abdehakim</t>
  </si>
  <si>
    <t>ITCS-GP26-67</t>
  </si>
  <si>
    <t>MarketMind AI: An Explainable Multi-Agent Financial Intelligence and Decision Support Platform”</t>
  </si>
  <si>
    <t xml:space="preserve">The project aims to build an AI-powered financial intelligence platform that collects and analyzes real-time market data from multiple heterogeneous sources including:
* Stock market prices
* Gold and silver prices
* Financial news
* Global economic events
* Company fundamentals
* Social media sentiment
* Technical indicator
s
</t>
  </si>
  <si>
    <t>Ibrahim Saad</t>
  </si>
  <si>
    <t>yousef ghonim osman</t>
  </si>
  <si>
    <t>belal mamdouh</t>
  </si>
  <si>
    <t xml:space="preserve">Noran Ahmed Elhalwagui </t>
  </si>
  <si>
    <t>ITCS-GP26-68</t>
  </si>
  <si>
    <t>Artificial Intelligence Applications in Neurological Disorders.</t>
  </si>
  <si>
    <t xml:space="preserve">Menna Sherif Ahmed Fouad </t>
  </si>
  <si>
    <t xml:space="preserve">Myar Saad Sadek </t>
  </si>
  <si>
    <t xml:space="preserve">Zakaria Ahmed Zakaria </t>
  </si>
  <si>
    <t xml:space="preserve">Mohaned Hisham Elbehairy </t>
  </si>
  <si>
    <t xml:space="preserve">hazem gamal muhamed </t>
  </si>
  <si>
    <t>h.gamal2307@nu.edu.eg</t>
  </si>
  <si>
    <t>ITCS-GP26-69</t>
  </si>
  <si>
    <t>Smart E-Commerce</t>
  </si>
  <si>
    <t>Mohammed Ziyad Alshhada</t>
  </si>
  <si>
    <t>m.ziyad2317@nu.edu.eg</t>
  </si>
  <si>
    <t xml:space="preserve">hamza ahmed ismael </t>
  </si>
  <si>
    <t>h.ahmed2374@nu.edu.eg</t>
  </si>
  <si>
    <t>Lotfe Eissah Albarbari</t>
  </si>
  <si>
    <t>L.eissah2331@nu.edu.eg</t>
  </si>
  <si>
    <t xml:space="preserve">Haneen Abdelmeeged Mohamed </t>
  </si>
  <si>
    <t>ITCS-GP26-70</t>
  </si>
  <si>
    <t>Secure Distributed Platform</t>
  </si>
  <si>
    <t xml:space="preserve">We are developing a secure distributed platform that combines blockchain/distributed ledger technology and cryptographic techniques to provide data integrity, secure access control, and tamper-resistant verification mechanisms for sensitive digital information.
The system will focus on secure authentication, encryption, hashing, digital verification, and transparent record management through a modern web application with backend APIs and database integration.
The project aims to provide practical experience in secure software engineering, blockchain/distributed systems, applied cryptography, backend development, database management, and cybersecurity principles.
</t>
  </si>
  <si>
    <t xml:space="preserve">Rana hany Mohamed </t>
  </si>
  <si>
    <t xml:space="preserve">Mai Amr Taha </t>
  </si>
  <si>
    <t xml:space="preserve">Malak Wael Ahmed </t>
  </si>
  <si>
    <t xml:space="preserve">Malak Mohamed AbdelHamid </t>
  </si>
  <si>
    <t xml:space="preserve">Fady Ragaie Nahoum </t>
  </si>
  <si>
    <t>231001052 </t>
  </si>
  <si>
    <t>Youssef Mahmoud Zaghloul</t>
  </si>
  <si>
    <t>Y.Mahmoud2352@nu.edu.eg</t>
  </si>
  <si>
    <t>ITCS-GP26-71</t>
  </si>
  <si>
    <t>EGYOne</t>
  </si>
  <si>
    <t>231001030 </t>
  </si>
  <si>
    <t>Ahmed Wael Ahmed</t>
  </si>
  <si>
    <t>A.Wael2330@nu.edu.eg</t>
  </si>
  <si>
    <t>Ahmed Sanad</t>
  </si>
  <si>
    <t>A.osman2383@nu.edu.eg</t>
  </si>
  <si>
    <t>Ibrahim Hagr</t>
  </si>
  <si>
    <t>I.Mohamed2335@nu.edu.eg</t>
  </si>
  <si>
    <t>Mohamed Osama Elkassas  </t>
  </si>
  <si>
    <t>M.osama2325@nu.edu.eg</t>
  </si>
  <si>
    <t>ITCS-GP26-72</t>
  </si>
  <si>
    <t>Start time</t>
  </si>
  <si>
    <t>Completion time</t>
  </si>
  <si>
    <t>Email</t>
  </si>
  <si>
    <t>Last modified time</t>
  </si>
  <si>
    <t>Your Name</t>
  </si>
  <si>
    <t>Your E-mail</t>
  </si>
  <si>
    <t>Title of Proposed Topic.</t>
  </si>
  <si>
    <t>To which research group does this topic belong?</t>
  </si>
  <si>
    <t>Summary of Proposed Topic</t>
  </si>
  <si>
    <t>Objective of Proposed Topic</t>
  </si>
  <si>
    <t>Is this topic related to a specific team?</t>
  </si>
  <si>
    <t>If Yes, Please provide the Team Leader's ID</t>
  </si>
  <si>
    <t>anonymous</t>
  </si>
  <si>
    <t>Ahmed El-Mahdy</t>
  </si>
  <si>
    <t>aelmahdy@nu.edu.eg</t>
  </si>
  <si>
    <t>Quantum Drug Discovery</t>
  </si>
  <si>
    <t>Quantum Computing</t>
  </si>
  <si>
    <t xml:space="preserve">Quantum computing is the best way to simulate the complex behaviour of molecules than classical computers because quantum computing itself follows the same behaviour of the molecules! Drug design relies heavily on finding the optimal configuration of electrons on a drug molecule; this, in turn, tells us about how good, or effective, the drug is. </t>
  </si>
  <si>
    <t>This project aims to develop software for non-quantum specialists to assist in using quantum computers to aid in drug design.</t>
  </si>
  <si>
    <t>Yes</t>
  </si>
  <si>
    <t>Two teams have contacted me, but don't know their IDs</t>
  </si>
  <si>
    <t>Ghada Khoriba</t>
  </si>
  <si>
    <t>ghadakhoriba@nu.edu.eg</t>
  </si>
  <si>
    <t>Deep Learning–Driven Feedback System for MMA Athlete Monitoring</t>
  </si>
  <si>
    <t>Ubiquitous and Visual Computing</t>
  </si>
  <si>
    <t xml:space="preserve">This project proposes a deep learning–driven feedback system designed to monitor and enhance Mixed Martial Arts (MMA) athlete performance and safety. By combining wearable sensor data with real-time video analysis, the system leverages multimodal data fusion to detect and interpret complex MMA movements such as strikes, blocks, and evasions. Advanced pose estimation and action recognition models will provide automated, objective assessments of technique quality, fatigue levels, and injury risk indicators. </t>
  </si>
  <si>
    <t>The system will deliver real-time feedback to coaches and athletes, enabling immediate performance corrections and long-term data-driven training strategies. The main objectives are to (1) develop accurate AI models for MMA-specific movement recognition, 
(2) integrate wearable and video data into a seamless monitoring pipeline, and 
(3) Validate the system with elite fighters in live training scenarios.</t>
  </si>
  <si>
    <t>221000147</t>
  </si>
  <si>
    <t>Mustafa Elattar</t>
  </si>
  <si>
    <t>melattar@nu.edu.eg</t>
  </si>
  <si>
    <t>A Psychologically-Informed Task-Based Model for Facilitating Comfort Zone Expansion and Interpersonal Growth</t>
  </si>
  <si>
    <t xml:space="preserve">Medical Informatics </t>
  </si>
  <si>
    <t>Jana Ayman 221000410</t>
  </si>
  <si>
    <t>Machine Human Integration</t>
  </si>
  <si>
    <t>Medical Imaging and Image Processing</t>
  </si>
  <si>
    <t xml:space="preserve"> ⁠Ahmed Kamal 221001524</t>
  </si>
  <si>
    <t>Noha Gamal Eldin Saad Ali</t>
  </si>
  <si>
    <t>ngamal@nu.edu.eg</t>
  </si>
  <si>
    <t>NeuroQuest: AI-Powered VR Learning System for Children with Learning Difficulties</t>
  </si>
  <si>
    <t>AI-Powered Accessible Educational Game For People With Disorders And Disabilities.</t>
  </si>
  <si>
    <t>Mohamed Mohamed Nasr, 221000089, m.mohamed2289@nu.edu.eg</t>
  </si>
  <si>
    <t>FARAH AHMED ABDELBARI, 221001269, f.ahmed2269@nu.edu.eg</t>
  </si>
  <si>
    <t>SpeakX: AI-driven platform for assessing and improving English speaking skills for Egyptians</t>
  </si>
  <si>
    <t>Natural language processing </t>
  </si>
  <si>
    <t xml:space="preserve">SpeakX is an AI-driven platform designed to improve and assess English speaking skills for Egyptians, particularly 
those targeting industries like call centers and tourism. Through a smart website and mobile app, 
SpeakX employs a virtual interviewer powered by speech recognition and natural language processing (NLP) 
to ask real-life questions, evaluate responses, and provide personalized feedback on grammar, fluency, vocabulary, 
pronunciation, sentiment, and body language. Tailored to recognize the Egyptian English accent, 
the system ensures fair and accurate scoring based on international standards, adapting question difficulty to user performance. 
It also identifies communication and confidence gaps, recommending personalized activities like pronunciation drills and 
confidence workshops. SpeakX supports certifications and corporate recruitment pipelines, empowering individuals and 
streamlining hiring for companies. A research paper will document the technical approach, challenges in accent detection
 and fair scoring, and improvements over traditional language learning methods. Revenue streams include subscriptions, 
certifications, corporate training, and advertising.
</t>
  </si>
  <si>
    <t>Abdullah Yasser Ismail, 221001008, a.yasser2208@nu.edu.eg</t>
  </si>
  <si>
    <t>Portable 3D Scanner for Real World Objects)</t>
  </si>
  <si>
    <t>Portable 3D Scanner for Real World Objects) This project is about creating a small, portable 3D scanner that can scan real 
objects and turn them into 3D models on a computer. The scanner will use cameras and sensors to capture the shape and 
details of objects. It will also use AI software to make the 3D models look better and more accurate. The goal is to make a 
low-cost, easy-to-use device that can work anywhere, even without the internet.</t>
  </si>
  <si>
    <t>Mohammed Ahmed Elmorsy, 221001919, m.elmorsy2219@nu.edu.eg</t>
  </si>
  <si>
    <t>Ngamal@nu.edu.eg</t>
  </si>
  <si>
    <t>AI-Powered End-to-End, Two sided Dental Assistant</t>
  </si>
  <si>
    <t>Hana Mahmoud Elashry, 221001128, h.mahmoud2228@nu.edu.eg</t>
  </si>
  <si>
    <t>I-hire.io Gen2: Full Hiring Pipeline</t>
  </si>
  <si>
    <t>Abdallah Eissa Abdelhares, 231001561, a.eissa2361@nu.edu.eg</t>
  </si>
  <si>
    <t>Customizing learning experience for students with different needs using AI generated content and  feedback using vital sensors and emotion detection</t>
  </si>
  <si>
    <t>Hana Hatem Elgabry, 221000062, h.hatem2262@nu.edu.eg</t>
  </si>
  <si>
    <t>Nafaa{نفع}:  is a smart charity platform that brings together trusted organizations, donors, and families in need — all in one place</t>
  </si>
  <si>
    <t xml:space="preserve">Software and Systems </t>
  </si>
  <si>
    <t xml:space="preserve">A charity App &amp; website that will collect charity organizations together into one platform.  
It will target the following users:  
- Donors looking to donate to trusted and reputable charities  
- Families in need of financial, social or medical aid  
- Partner charities looking to broaden their reach  The app will use AI features such as OCR and Multimodal to help streamline applications.
</t>
  </si>
  <si>
    <t>Farida Ashraf Hanafy, 221000407, f.ashraf2207@nu.edu.eg</t>
  </si>
  <si>
    <t>Motion Capture-Free Human Motion Synthesis</t>
  </si>
  <si>
    <t>multimodal large language models and neural control rigs to generate human motion data without traditional motion capture systems</t>
  </si>
  <si>
    <t>Representation and Fusion of Multimodal Information: Generating high-quality 3D digital human motion faces challenges such as jitter, penetration, and foot sliding. Solutions include using parametrized human models and advanced motion generation techniques like generative adversarial networks (GANs), autoencoders, and diffusion models</t>
  </si>
  <si>
    <t>221000770</t>
  </si>
  <si>
    <t>Ensaf Hussein Mohamed</t>
  </si>
  <si>
    <t>enmohamed@nu.edu.eg</t>
  </si>
  <si>
    <t>Smart Dashboard Generation for Business Analytics Using LLMs</t>
  </si>
  <si>
    <t>This project uses large language models (LLMs) to automatically generate visual dashboards from business data. Users can input queries in natural language to receive insights and analytics without coding. The system enhances business decision-making by combining NLP with smart data visualization.</t>
  </si>
  <si>
    <t>Mohamed Waleed Eltwapty 221001161</t>
  </si>
  <si>
    <t>Smart Dermatological Diagnosis and Skincare Guidance Using Multi-Modal LLMs</t>
  </si>
  <si>
    <t>This project aims to develop a smart system that uses multi-modal large language models (LLMs) to analyze skin images and user input for accurate dermatological diagnosis. It provides personalized skincare routine recommendations based on the diagnosis and user profile. The system combines visual understanding with natural language processing to support both medical and cosmetic skin care.</t>
  </si>
  <si>
    <t xml:space="preserve">Eman Khalid Elkalawy 221001658 </t>
  </si>
  <si>
    <t>Mai Mabrouk</t>
  </si>
  <si>
    <t>masaid@nu.edu.eg</t>
  </si>
  <si>
    <t>Artificial intelligence guided system for mRNA Vaccine components from antigen selection to delivery systems</t>
  </si>
  <si>
    <t>Bioinformatics</t>
  </si>
  <si>
    <t>The project aims to develop an integrated artificial intelligence (AI)-driven system that streamlines the design and development of mRNA vaccines by guiding key decisions from antigen selection to delivery system optimization. With the rapid advancement of mRNA vaccine technology, there is a growing need for robust computational tools that can enhance the speed, accuracy, and efficacy of vaccine development. This system will employ advanced machine learning and bioinformatics techniques to identify optimal antigens based on pathogen genomic data, predict mRNA structural stability and translation efficiency, and recommend suitable lipid nanoparticle (LNP) formulations or alternative delivery platforms. The project seeks to significantly reduce the time and cost involved in vaccine development while ensuring high immunogenicity and safety. This approach could be pivotal in responding to emerging infectious diseases and enhancing global pandemic preparedness.</t>
  </si>
  <si>
    <t xml:space="preserve">
    -Develop AI algorithms for the identification and prioritization of immunogenic antigens from pathogen genomic and proteomic data.
  -  Predict and optimize mRNA sequence features (e.g., codon usage, GC content, secondary structures) for enhanced stability, translational efficiency, and immune response.
   - Design machine learning models to evaluate and select appropriate delivery systems (e.g., lipid nanoparticles) based on payload characteristics and target tissue.
    -Integrate all modules into a user-friendly, end-to-end computational platform for guiding mRNA vaccine development.</t>
  </si>
  <si>
    <t xml:space="preserve">Mohamed Emad - 221001465 </t>
  </si>
  <si>
    <t>MediVault: A Smart Mobile Application for Comprehensive Patient Medical History Management</t>
  </si>
  <si>
    <t>In today's healthcare landscape, patients often receive medical care from multiple providers, leading to fragmented and inconsistent records. This disconnection can result in delays, redundant testing, misdiagnoses, and poor health outcomes. There is a critical need for a centralized, secure, and intelligent platform that enables patients and healthcare providers to access and manage complete medical history data in a user-friendly format.
Patients lack a centralized digital platform where their entire medical history—ranging from diagnoses and prescriptions to radiology images and lifestyle data—is securely stored and easily accessible. This fragmentation can lead to:
- Inaccurate or incomplete diagnoses
- Repeated lab/imaging tests
- Medication errors
- Difficulty in coordinating care between specialists
- Ineffective chronic disease management</t>
  </si>
  <si>
    <t xml:space="preserve">
- Design and develop a mobile application that serves as a secure, smart medical history vault for patients.
- Ensure interoperability with existing healthcare systems (EHRs) using FHIR standards.
- Enable AI-powered summarization of medical history for quick review by clinicians.
- Provide data visualization tools and alerts for both patients and caregivers.
- Incorporate advanced privacy and access control features, including emergency access modes.
</t>
  </si>
  <si>
    <t>Mohamed Gamal Elmorsy ID: 221002212</t>
  </si>
  <si>
    <t>Walid Al-Atabany</t>
  </si>
  <si>
    <t>w.al-atabany@nu.edu.eg</t>
  </si>
  <si>
    <t>AI-Guided Ultrasound System for Real-Time Scanning Optimization and Skill Transfer with Expert Motion Replication</t>
  </si>
  <si>
    <t>Ultrasound imaging remains a highly operator-dependent modality, where diagnostic accuracy hinges on precise probe manipulation and anatomical view acquisition. To address this challenge, we propose a dual-function AI-guided ultrasound system that both assists in real-time scanning and supports training through expert motion modeling. The system employs inertial measurement units (IMUs), optical tracking, and synchronized ultrasound video to capture and learn expert probe trajectories during high-quality scans. These motion profiles—linked to specific anatomical targets—are used to build a predictive model of optimal probe movement and image quality.
During live scanning, the system classifies the current view using deep learning models (e.g., CNNs or vision transformers), evaluates image quality, and provides intelligent feedback on probe adjustments (e.g., tilt, rotation, translation) to help operators achieve diagnostically complete views. For novice users, the system offers a training mode that compares their probe manipulation to expert benchmarks in real-time, delivering corrective guidance through visual, haptic, or auditory cues.
This AI-powered assistant not only reduces intra- and inter-operator variability in clinical workflows but also accelerates skill acquisition by transforming expert motion into an interactive, feedback-driven learning experience. Ultimately, the system aims to standardize ultrasound acquisition quality, improve diagnostic confidence, and extend imaging capability to non-expert radiologists in both clinical and educational settings.</t>
  </si>
  <si>
    <t>Ahmed Bahaaeldin Abdou | ID: 221001120</t>
  </si>
  <si>
    <t>Islam Tharwat</t>
  </si>
  <si>
    <t>ihalim@nu.edu.eg</t>
  </si>
  <si>
    <t>Interactive Platform for Simulating Cybersecurity Writeups Using AI</t>
  </si>
  <si>
    <t>Cybersecurity and Digital Forensics</t>
  </si>
  <si>
    <t>A web-based platform designed for ethical hackers and cybersecurity students, where users can upload or explore writeups (technical reports) of real-world vulnerabilities. The platform uses AI to analyze the writeup and automatically generate a working simulation environment where users can practically execute and test the vulnerability step-by-step.</t>
  </si>
  <si>
    <t>Hana Hafez  211000912 Alaa sari Erfan  221001779 Malak Hassan  221000447 Omar Mohamed221001706 222000071 Mostafa elgendy 221001706</t>
  </si>
  <si>
    <t>Sahar Selim</t>
  </si>
  <si>
    <t>sselim@nu.edu.eg</t>
  </si>
  <si>
    <t>AI-Powered Medical Imaging for Disease Diagnosis and Segmentation</t>
  </si>
  <si>
    <t>221001609</t>
  </si>
  <si>
    <t>Noha Gamal El-Din Saad Ali + Mustafa El-Attar</t>
  </si>
  <si>
    <t>Vigil: AI-Powered Smart Surveillance with Real-Time Scene Understanding and Anomaly Detection</t>
  </si>
  <si>
    <t>Abdala Alaa Atia – CS Department – GPA: 2.95, Email: a.alaa2236@nu.edu.eg | ID: 221001636</t>
  </si>
  <si>
    <t>Noha Gamal El-Din Saad Ali</t>
  </si>
  <si>
    <t>AI-Powered Application</t>
  </si>
  <si>
    <t>Name: Mahmoud Khalaf Mohammed  ID: 221001989 GPA: 3.92 Major: CS - Big Data Email: m.khalaf2289@nu.edu.eg</t>
  </si>
  <si>
    <t>Computer ecosystem AI Assistant</t>
  </si>
  <si>
    <t>Zaynab Essam Abdullah ID: 221001623 Phone: 01024690537 GPA: 3.92 Major: Computer Science (Big Data)</t>
  </si>
  <si>
    <t xml:space="preserve">A Lightweight, Privacy-Preserving System for Detecting Deepfake Videos Using Metadata </t>
  </si>
  <si>
    <t>Other</t>
  </si>
  <si>
    <t>221000716</t>
  </si>
  <si>
    <t>Digital Sports Coach</t>
  </si>
  <si>
    <t>221001139</t>
  </si>
  <si>
    <t>Islam Tharwat Abdel Halim</t>
  </si>
  <si>
    <t>ClarityAI</t>
  </si>
  <si>
    <t xml:space="preserve">ClarityAI is an AI-powered platform that helps users turn raw data into meaningful insights and key performance indicators (KPIs). By simply uploading a dataset or answering a guided questionnaire, individuals and businesses can instantly generate tailored metrics, performance summaries, and strategic recommendations — without the need for technical expertise.
</t>
  </si>
  <si>
    <t>The system uses machine learning and data analysis techniques to detect patterns, trends, and anomalies, then presents the results through clean visuals and smart insights. Whether it’s for sales, marketing, education, operations, or personal use, ClarityAI makes data-driven decision-making accessible to everyone.</t>
  </si>
  <si>
    <t>Adham Ahmad Osama – 221001652 Ali Elsaeed – 221000508 Mariam Alaa – 221000919 Shahd Mansour – 221000293</t>
  </si>
  <si>
    <t>AI in Cybersecurity Comp I</t>
  </si>
  <si>
    <t>Alhussein Nagdy 221002149 AbdelRahman Rahal 221001443 Mahmoud abdelgelil.    221001313 Nour Elsharkawy 221001458</t>
  </si>
  <si>
    <t>AI in Cybersecurity Comp II</t>
  </si>
  <si>
    <t>Abdelrahman AlSammany  221000915 Youssef Fathy  221000056 Mohamed Magdy  221001891</t>
  </si>
  <si>
    <t>WeddWish: A Collaborative Gifting Platform for Wedding Essentials</t>
  </si>
  <si>
    <t>This project proposes the design and development of WeddWish, a web and mobile application that enables friends, colleagues, and family members to contribute financially toward a curated wishlist of items—such as furniture, electronics, or household appliances—for individuals preparing for marriage. The platform aims to streamline the traditional gift-giving process by allowing users to create personalized wishlists, set funding goals for each item, and securely collect donations from their social network. Donors can contribute to specific items or make general donations, while recipients can track progress in real time. Key features include user authentication, wishlist customization, secure payment integration, notification systems, and administrative tools for managing contributions and purchases. The project will be developed using modern web and mobile frameworks, and will prioritize usability, accessibility, and data security. Ultimately, WeddWish seeks to foster a culture of collective support and simplify the gift-giving experience around one of life’s most important milestones.</t>
  </si>
  <si>
    <t>1.	To design and develop a user-friendly web and mobile platform that enables engaged individuals to create personalized wishlists and receive monetary contributions toward selected gifts.
2.	To integrate secure payment processing and real-time tracking features that allow donors to contribute safely and monitor funding progress for each wishlist item.
3.	To ensure accessibility, data security, and intuitive usability across devices, providing a seamless experience for both donors and recipients.</t>
  </si>
  <si>
    <t>No</t>
  </si>
  <si>
    <t>ViScope: Visual Scene Compression for Enhanced Perception in Tunnel Vision</t>
  </si>
  <si>
    <t>Peripheral vision loss, often manifesting as tunnel vision, significantly impairs spatial awareness and mobility for affected individuals. Traditional visual aids like de-magnifying optics expand the visible field but at the cost of severe image distortion and resolution loss. This project proposes the development of a novel non-linear scene compression technique tailored for patients with severe visual field restriction (e.g., ≤20°). The method aims to preserve the spatial saliency of key scene features while compressing peripheral content into the patient's residual field of view. By leveraging computer vision-based scene analysis, the system will intelligently prioritize and retarget essential visual information without inducing fisheye-like distortion. The solution will be implemented in a lab-based setting using real-time image processing tools and evaluated through simulations and user studies with low-vision emulation tools. This work has the potential to enhance situational awareness for individuals with tunnel vision, offering a meaningful step toward non-invasive, perceptually intuitive low-vision aids.</t>
  </si>
  <si>
    <t xml:space="preserve">1.	To design and implement a non-linear scene compression algorithm that reduces wide-field visual information into the user’s restricted central field while preserving the size and clarity of key visual features.
2.	To develop a real-time computer vision system using standard visible-light cameras for dynamic scene capture and feature prioritization based on saliency and spatial relevance.
3.	To evaluate the effectiveness and perceptual quality of the compression method through simulated tunnel vision experiments, focusing on target detection, scene understanding, and distortion tolerance.
</t>
  </si>
  <si>
    <t>Quantum Finance</t>
  </si>
  <si>
    <t xml:space="preserve">Quantum finance is an emerging application in quantum computing to model how the market works. In simple terms, quantum computing can model the complex possible interactions from different stakeholders, giving better asset evaluation than classical methods. </t>
  </si>
  <si>
    <t>This project aims to use quantum computing for a simplified marketing problem and measures the advantage of quantum computers in comparison with current classical ones.</t>
  </si>
  <si>
    <t>Distributed Quantum Computing</t>
  </si>
  <si>
    <t xml:space="preserve">Distributed quantum computing is now a hot topic in quantum computing, where many quantum computers are connected together to make one large quantum system. The system relies on quantum networking to connect those computers. </t>
  </si>
  <si>
    <t xml:space="preserve">The project aims to develop software that automatically partitions a quantum program (circuit) into many quantum processors, making it easier for quantum software developers to test distributed algorithms. </t>
  </si>
  <si>
    <t>AI-Based Early Detection of Papilledema Using Fundus Imaging</t>
  </si>
  <si>
    <t>Papilledema, the swelling of the optic disc due to increased intracranial pressure, is a vision- and life-threatening condition that necessitates timely and accurate diagnosis. Currently, diagnosis relies on expert interpretation of fundus images, a process that is not always feasible in under-resourced or remote clinical settings. This proposal aims to develop an automated, AI-powered diagnostic system capable of detecting papilledema from fundus photographs with high accuracy. By leveraging deep learning and image processing techniques, the proposed system will assist in rapid screening and triaging of patients, thereby reducing diagnostic delays and improving access to care. The system will be trained and validated on curated datasets of labeled fundus images, and designed for integration into low-cost hardware to ensure accessibility in underserved regions. This project holds the potential to democratize ophthalmic diagnostics and support early intervention for conditions associated with increased intracranial pressure.</t>
  </si>
  <si>
    <t>To develop a deep learning model capable of detecting papilledema from fundus images, enabling early diagnosis and timely referral of patients at risk of increased intracranial pressure.</t>
  </si>
  <si>
    <t>Leveraging Multimodal Data Integration for Early Detection and Personalized Treatment in Fibrolamellar Carcinoma (FLC)</t>
  </si>
  <si>
    <t xml:space="preserve">Fibrolamellar Carcinoma (FLC) is a rare form of primary liver cancer that primarily affects adolescents and young adults without underlying liver disease. Its elusive clinical presentation, scarcity of cases, and lack of standardized biomarkers contribute to delayed diagnosis and limited therapeutic guidance. This proposal aims to leverage the integration of multimodal data—including clinical parameters, radiological imaging (radiomics), and genomic profiles—to improve early detection and enable precision-guided treatment strategies for FLC.By employing advanced machine learning and deep learning frameworks, we will analyze feature-rich datasets extracted from multimodal sources to identify patterns and correlations that are not apparent through conventional analysis. </t>
  </si>
  <si>
    <t>The ultimate goal is to discover multimodal biomarkers that enhance diagnostic accuracy, stratify risk, and guide individualized therapy. This integrative approach holds the potential to transform clinical practice in FLC management and establish a framework applicable to other rare cancers.</t>
  </si>
  <si>
    <t>Advancing Mental Health Assessment and Intervention through Multimodal Large Language Models</t>
  </si>
  <si>
    <t>Mental health disorders remain a growing global concern, often underdiagnosed due to stigma, lack of resources, and the complexity of human psychological expression. Recent breakthroughs in artificial intelligence, particularly Large Language Models (LLMs), present a transformative opportunity for mental health care. This proposal explores the integration of multimodal data including textual conversations, voice tone, facial expressions, and physiological signals within advanced LLM frameworks to improve mental health assessment and intervention.
By combining natural language understanding with audio and visual cues, multimodal LLMs can capture subtle indicators of emotional and cognitive states, offering deeper, context-aware insights into patient well-being. Leveraging datasets such as DAIC-WOZ, CMU Multimodal Opinion Sentiment and Emotion Intensity (CMU-MOSEI), and AVEC, the project aims to develop and validate models capable of early detection of conditions like depression, anxiety, and PTSD. Furthermore, the proposal envisions personalized, empathetic feedback mechanisms that support remote therapy and continuous mental health monitoring.
This interdisciplinary approach promises to enhance clinical decision-making, improve patient engagement, and address gaps in mental health services, especially in underserved populations.</t>
  </si>
  <si>
    <t xml:space="preserve">The aims to develop a multimodal Large Language Model (LLM) framework that integrates text, audio, facial expressions, and physiological signals to improve the accuracy of mental health assessment and enable personalized, AI-driven interventions. </t>
  </si>
  <si>
    <t>Artificial Intelligence-Guided Design of mRNA Vaccine Components: From Antigen Selection to Delivery Systems</t>
  </si>
  <si>
    <t>The proposed topic focuses on utilizing artificial intelligence (AI) to revolutionize the development of mRNA vaccines by guiding critical stages from antigen selection to delivery system design. Through the integration of multi-omics data, protein structure prediction, and advanced machine learning techniques, the approach aims to identify the most effective and immunogenic antigens, optimize mRNA stability and translation, and design targeted delivery systems. This AI-driven framework has the potential to significantly accelerate vaccine development, enhance immune responses, and enable rapid adaptation to emerging infectious diseases.</t>
  </si>
  <si>
    <t>The aim is to harness artificial intelligence to streamline the end-to-end design of mRNA vaccine components, including optimal antigen selection, codon optimization, and delivery system engineering. By integrating multi-omics data, structural biology, and predictive machine learning models, the project seeks to accelerate the identification of potent immunogenic targets and enhance delivery efficiency, ultimately improving vaccine efficacy and development timelines.</t>
  </si>
  <si>
    <t>AI-Based System for Early Detection, Classification, and Recurrence Prediction of Kidney Stones Using Imaging and Clinical Data</t>
  </si>
  <si>
    <t xml:space="preserve">This project proposes the development of an AI-powered diagnostic and predictive system that utilizes medical imaging (e.g., CT, ultrasound) and patient clinical records to detect kidney stones, classify their type, and predict the likelihood of recurrence. The system will employ deep learning models such as convolutional neural networks (CNNs) for image analysis, combined with machine learning algorithms that integrate patient history, lab results, hydration levels, and metabolic profiles. This integrated tool aims to assist clinicians in early diagnosis, provide personalized treatment plans, and support long-term monitoring to prevent future occurrences.
</t>
  </si>
  <si>
    <t>To create an integrated AI model that:
    Detects kidney stones from imaging data using deep learning.
    Classifies the type of kidney stone based on visual and clinical features.
    Predicts the risk of recurrence using longitudinal clinical data.</t>
  </si>
  <si>
    <t>Digital Twin of the Lung: A Predictive Platform for Early Detection and Personalized Management of Respiratory Diseases</t>
  </si>
  <si>
    <t>This project aims to develop a Digital Twin of the human lung—a dynamic, virtual physiological model that mirrors an individual’s lung function in real time using clinical, imaging, lifestyle, and omics data. The system will simulate respiratory behavior, track disease progression, and forecast health outcomes for conditions such as Chronic Obstructive Pulmonary Disease (COPD), asthma, and interstitial lung disease (ILD).</t>
  </si>
  <si>
    <t xml:space="preserve">Develop a virtual physiological lung model that integrates clinical, imaging, lifestyle, and omics data to simulate lung function, track respiratory health, and predict disease progression or response to treatment. </t>
  </si>
  <si>
    <t>Ensaf H. Mohamed</t>
  </si>
  <si>
    <t>EEG-Based Emotion and Sentiment Detection to Monitor Student Engagement</t>
  </si>
  <si>
    <t xml:space="preserve"> This project uses EEG signals to detect students’ emotional states and levels of engagement during learning sessions. Brainwave data is collected and processed to identify sentiment and attention levels.</t>
  </si>
  <si>
    <t xml:space="preserve"> To develop a real-time system that classifies student engagement and emotions using EEG and machine learning, enhancing adaptive learning environments.</t>
  </si>
  <si>
    <t>Mohamed Mysara and Ghada Ghoriba</t>
  </si>
  <si>
    <t>mmaysara@nu.edu.eg; GhadaKhoriba@nu.edu.eg</t>
  </si>
  <si>
    <t>Hypothesis testing preformance through LLM Models</t>
  </si>
  <si>
    <t>developing of large language models (LLMs) tailored to automating formulation,  statistical hypothesis testing, Interpretation directly from structured  data without manual statistical coding.</t>
  </si>
  <si>
    <t>Developing end-to-end hypothesis testing workflows, significantly reducing the barrier to data-driven decision-making for non-experts.</t>
  </si>
  <si>
    <t>Mohamed Mysaral; Sahar Selim</t>
  </si>
  <si>
    <t>mmaysara@nu.edu.eg; SSelim@nu.edu.eg</t>
  </si>
  <si>
    <t>Improving eGFR Progression Forecasting in CKD Patients through Machine Learning and a Novel Cross-Matching Approach</t>
  </si>
  <si>
    <t>This project aims to improve the prediction of kidney failure progression from early stages of Chronic Kidney Disease (CKD) by leveraging machine learning models combined with a novel cross-matching approach</t>
  </si>
  <si>
    <t>Developing early-warning system for kidney failure risk, surpassing traditional static models by incorporating dynamic patient profile matching.</t>
  </si>
  <si>
    <t>Mohamed Mysara</t>
  </si>
  <si>
    <t>mmaysara@nu.edu.eg</t>
  </si>
  <si>
    <t>Investigating microbiome markers in migraine disease</t>
  </si>
  <si>
    <t>Identify specific gut microbial signatures associated with migraine occurrence and severity.</t>
  </si>
  <si>
    <t>Identification of non-invasive, microbiome-based biomarkers for migraine risk stratification and monitoring</t>
  </si>
  <si>
    <t>Investigating relation of microbiome and disease progression through meta-analysis</t>
  </si>
  <si>
    <t>Systematically harmonizing and meta-analyzing gut microbiome datasets to uncover robust taxonomic and functional biomarkers predictive of disease progression.</t>
  </si>
  <si>
    <t>Translates aggregated microbiome signatures into potential diagnostic panels and therapeutic targets that hold across different patient populations</t>
  </si>
  <si>
    <t xml:space="preserve"> A Software Platform for Regulatory RNA Identification and Target Site Prediction</t>
  </si>
  <si>
    <t>An integrated software that identifies regulatory RNAs from sequencing data and predicts their high-confidence target sites</t>
  </si>
  <si>
    <t>Detecting various regulatory RNA types (miRNA, lncRNA, circRNA) using a single framework, rather than separate workflows per RNA class</t>
  </si>
  <si>
    <t>Mohamed Mysara; Mustafa Elattar</t>
  </si>
  <si>
    <t>mmaysara@nu.edu.eg; melattar@nu.edu.eg</t>
  </si>
  <si>
    <t>Integrative Approaches in Structural Bioinformatics and Molecular Docking for Drug Discovery</t>
  </si>
  <si>
    <t>the approach aims to identify and characterize potential drug targets, providing detailed insights into protein-ligand interactions at the molecular level.</t>
  </si>
  <si>
    <t>developing  integrative framework that combines advanced structural bioinformatics with high-precision docking to streamline target identification and lead optimization</t>
  </si>
  <si>
    <t>Active learning and Human Activity Recognition</t>
  </si>
  <si>
    <t>Both ubiquitous computing and active learning present significant opportunities and challenges. Ubiquitous computing aims to integrate technology seamlessly into daily life, while active learning seeks to optimize data labeling processes. Addressing privacy, integration, and data management in ubiquitous computing, along with reducing annotation costs and improving dataset evaluation in active learning, are critical for advancing these fields.</t>
  </si>
  <si>
    <t>Design a seamless ubiquitous computing framework for education</t>
  </si>
  <si>
    <t>Framework for Evaluating and Mitigating Bias in Generative AI for Education</t>
  </si>
  <si>
    <t>Generative AI tools are increasingly used in education for tasks like content generation and personalized tutoring, but unchecked biases in these systems can reinforce disparities among students.</t>
  </si>
  <si>
    <t>Evaluation Dashboard: To ensure transparency, the project will include a dashboard for visualizing bias and performance metrics.</t>
  </si>
  <si>
    <t>Tamer Arafa</t>
  </si>
  <si>
    <t>tarafa@nu.edu.eg</t>
  </si>
  <si>
    <t>SmartLabeler – An Active Learning System for Efficient Image Annotation</t>
  </si>
  <si>
    <t>SmartLabeler is an active learning system that integrates vision models and large language models (LLMs) to streamline image annotation. It intelligently selects the most informative images for labeling and provides label suggestions with natural language explanations to assist human annotators, significantly reducing time and cost.</t>
  </si>
  <si>
    <t>To develop a human-in-the-loop image annotation tool that leverages active learning and LLMs to:
    Prioritize high-value samples from unlabeled datasets,
    Provide AI-generated label suggestions and rationales,
    Minimize human labeling effort while maximizing model performance.</t>
  </si>
  <si>
    <t>ReAlign: Reinforcement Learning-Based Fine-Tuning of LLMs for Human-Aligned Behavior</t>
  </si>
  <si>
    <t>ReAlign is a reinforcement learning framework for improving the alignment of large language models (LLMs) with human values and preferences. While instruction-tuned LLMs can follow generic prompts, they often generate responses that are verbose, unhelpful, unsafe, or misaligned with user expectations. This project leverages reinforcement learning from human feedback (RLHF) — or its approximations — to train LLMs to generate responses that maximize helpfulness, safety, clarity, and politeness. Using datasets containing prompts, human preference rankings, and reward modeling techniques, the system iteratively fine-tunes the model through Proximal Policy Optimization (PPO) or Direct Preference Optimization (DPO), resulting in more user-aligned outputs for real-world applications.</t>
  </si>
  <si>
    <t>To develop a reinforcement learning pipeline that:
    Trains LLMs to generate responses that align with human preferences.
    Uses reward signals derived from human-labeled comparisons or proxy metrics (e.g., safety, clarity).
    Fine-tunes LLMs via RL algorithms (PPO/DPO) to maximize alignment while preserving fluency and diversity.</t>
  </si>
  <si>
    <t>AutoClean: An LLM-Driven Autonomous Data Cleaning Assistant</t>
  </si>
  <si>
    <t>AutoClean is an intelligent data cleaning assistant that leverages large language models to automatically detect, explain, and correct data quality issues in tabular datasets. Combining LLM-based contextual reasoning with statistical anomaly detection, the system suggests cleaning actions such as imputations, outlier handling, and consistency fixes. Through an interactive interface, users can review and provide feedback on these suggestions, allowing the assistant to learn and improve its accuracy over time. AutoClean aims to reduce the manual effort and expertise needed for data preparation, accelerating data science workflows across industries.</t>
  </si>
  <si>
    <t>To develop an autonomous data cleaning system that:
    Identifies data inconsistencies, missing values, and anomalies using combined statistical and LLM reasoning,
    Generates natural language explanations and actionable cleaning suggestions,
    Incorporates user feedback to continuously improve through learning mechanisms,
    Integrates seamlessly with common data science environments for practical use.</t>
  </si>
  <si>
    <t>Sahar Selim; Mohamed Maysara</t>
  </si>
  <si>
    <t>sselim@nu.edu.eg; mmaysara@nu.edu.eg</t>
  </si>
  <si>
    <t>Automated Medical Coding of Breast Cancer Cases Using Machine Learning: A Collaboration Between Baheya Foundation and Nile University</t>
  </si>
  <si>
    <t>Baheya Foundation currently manages a large clinical database of over 18,000 breast cancer cases, each with extensive medical documentation, including pathology reports and progress notes. Currently, the process of coding patient data using ICD-11 and ICD-O standards is handled by an external medical coding company. This process is resource-intensive, time-consuming, and not scalable.</t>
  </si>
  <si>
    <t xml:space="preserve">To develop an AI-based system capable of automatically extracting relevant diagnostic and procedural codes (ICD-11, ICD-O) from unstructured clinical text (e.g., pathology reports, progress notes), replacing the manual work of coding specialists.
1.	Collect and anonymize a large set of annotated patient records from Baheya (with current manual codes).
2.	Preprocess the text data, including cleaning, tokenization, and normalization.
3.	Develop a supervised machine learning model (e.g., NLP-based deep learning or transformer model) trained on manually coded data.
4.	Validate and evaluate the performance of the model against a held-out test set.
5.	Create a user-friendly interface for hospital staff to upload reports and receive auto-generated ICD codes.
</t>
  </si>
  <si>
    <t>We need at least 2 BMD students in this project</t>
  </si>
  <si>
    <t>SEER-Based Structured Data Extraction and Real-Time Cancer Registry Dashboard for Baheya</t>
  </si>
  <si>
    <t xml:space="preserve">Problem Statement
At Baheya Foundation, a large volume of unstructured data (e.g., pathology reports, radiology findings, clinical assessments, and progress notes) is generated daily. The current process of manually extracting and structuring these data according to SEER coding guidelines (for staging, diagnosis, treatment, etc.) is time-consuming, labor-intensive, and prone to delays. Moreover, the center lacks a live dashboard to provide real-time statistics for decision-making and research.
Project Aim
To develop an AI-powered platform that extracts structured SEER-compliant data from unstructured clinical documents and populates a live, queryable cancer registry database with built-in visualization tools.
</t>
  </si>
  <si>
    <t>1.	Automated Data Extraction
o	Use Natural Language Processing (NLP) models to extract staging, morphology, topography, laterality, treatment, etc., from unstructured text in:
	Pathology reports
	Radiology reports
	Initial assessments
	Progress notes
2.	SEER-Compliant Structuring
o	Map extracted information into structured fields following SEER Program standards (Site Recode ICD-O-3, Summary Stage 2018, etc.).
3.	Live Database Design
o	Develop a secure, scalable relational database (e.g., PostgreSQL or MongoDB) with standardized fields.
4.	Interactive Dashboard &amp; Analytics
o	Build a user interface (web-based dashboard) that allows:
	Real-time patient stats (e.g., stage distribution, subtypes, response to therapy)
	Filters by year, stage, receptor status, age, etc.
	Export-ready summaries for research and reports</t>
  </si>
  <si>
    <t>We need at least 2 BMD students for this project</t>
  </si>
  <si>
    <t>Sahar Ali Fawzi</t>
  </si>
  <si>
    <t>sfawzeia@nu.edu.eg</t>
  </si>
  <si>
    <t>Al-Assisted Prognosis Prediction.</t>
  </si>
  <si>
    <t xml:space="preserve">This project explores the use of Artificial Intelligence (AI) to predict patient outcomes such as disease progression, survival time, and readmission risk. By training machine learning models on data from electronic health records (EHRs), lab results, and demographic profiles, the system aims to support clinicians in making data-driven prognosis decisions. The project compares different AI models for accuracy and clinical relevance, with a focus on interpretability, and patient safety. </t>
  </si>
  <si>
    <t>Create a predictive framework to predict patient outcomes such as disease progression, survival time, and readmission risk, thu enhances personalized care and improves medical decision-making</t>
  </si>
  <si>
    <t>sfawzi@nu.edu.eg</t>
  </si>
  <si>
    <t>AI-Guided Resource Allocation Optimization in Healthcare</t>
  </si>
  <si>
    <t xml:space="preserve">To develop an AI-based decision support system to optimize resource allocation in healthcare environments. It uses predictive analytics and optimization algorithms to manage critical resources such as hospital beds, medical staff, and equipment. By analyzing historical and real-time data, the system identifies usage patterns and forecasts demand. The solution is tested using simulated healthcare data to evaluate its efficiency, fairness, and adaptability in dynamic scenarios. </t>
  </si>
  <si>
    <t>Improve healthcare delivery, with affordable budjets. by enabling smarter, data-driven resource management.</t>
  </si>
  <si>
    <t>AI-Guided Treatment Planning &amp; Recommendation</t>
  </si>
  <si>
    <t>This project presents a machine learning-based system designed to assist healthcare professionals in developing personalized treatment plans. By analyzing clinical data such as diagnoses, lab results, comorbidities, and medical history, the system recommends treatment strategies aligned with current medical standards. The solution supports evidence-based decision-making, reduces the risk of errors, and promotes individualized care. The project also addresses important concerns related to model transparency, safety, and clinical integration, aiming to create a reliable AI assistant for treatment planning.</t>
  </si>
  <si>
    <t>develop a platform to achieve precision medicine</t>
  </si>
  <si>
    <t>Generative AI (LLMs) Guided Text and Speech Recognition in EMR</t>
  </si>
  <si>
    <t>This project focuses on enhancing Electronic Medical Record (EMR) systems through generative AI, particularly Large Language Models (LLMs). The goal is to improve the recognition and structuring of both spoken and written clinical data. The system performs real-time speech-to-text transcription, summarizes clinical notes, and organizes unstructured inputs into standardized EMR formats. By reducing documentation time and improving accuracy, this approach allows healthcare providers to spend more time with patients. The project also considers privacy, security, and the practical challenges of deploying AI in clinical settings</t>
  </si>
  <si>
    <t xml:space="preserve">Use of more natural way to deal with EHR </t>
  </si>
  <si>
    <t>Generative AI Augmented Electronic Medical Records (EMR)</t>
  </si>
  <si>
    <t xml:space="preserve">Leveraging Large Language Models (LLMs), the system performs automated tasks such as summarizing patient histories, generating clinical notes, and recommending actions based on context. The objective is to reduce the burden of manual data entry while improving data quality and usability. A prototype should be developed and evaluated using clinical data to test performance, compliance with standards, and user-friendliness. The project envisions a future where EMRs actively assist clinicians in decision-making and patient management.
</t>
  </si>
  <si>
    <t xml:space="preserve">A generative AI-enhanced framework for transforming EMR systems into intelligent, interactive platforms. </t>
  </si>
  <si>
    <t>Mabrouk</t>
  </si>
  <si>
    <t>AI-Enhanced Surgical Navigation System using Augmented Reality”</t>
  </si>
  <si>
    <t xml:space="preserve">Conventional surgical procedures often depend on the surgeon’s experience, 2D preoperative images, and limited intraoperative feedback, which can increase the risk of complications. There is a need for a system that enhances spatial awareness and anatomical visualization during surgery.
</t>
  </si>
  <si>
    <t>To develop an AI-assisted augmented reality (AR) surgical navigation system that provides real-time, accurate visualization and guidance during surgeries, aiming to increase precision, reduce errors, and improve patient outcomes.</t>
  </si>
  <si>
    <t>Walaa Medhat</t>
  </si>
  <si>
    <t>WMedhat@nu.edu.eg</t>
  </si>
  <si>
    <t>Emotion-Aware Chatbot Using Multi-Task Learning</t>
  </si>
  <si>
    <t>This project aims to build an intelligent chatbot capable of understanding both the semantic content and the emotional tone of user inputs. Using multi-task learning, the model will simultaneously perform sentiment analysis and intent classification to generate context- and emotion-aware responses. The system will be trained on multi-label conversational datasets and benchmarked against standard chatbots for empathy and engagement, offering potential use in mental health support or customer service.</t>
  </si>
  <si>
    <t>Multilingual Fake News Detection Using Cross-Lingual Embeddings</t>
  </si>
  <si>
    <t>Misinformation is a global issue that transcends language barriers. This project aims to propose a multilingual fake news detection system that leverages cross-lingual embeddings (e.g., XLM-RoBERTa) to detect fake news across different languages. The model will be trained on multilingual datasets and evaluated for accuracy, precision, and generalizability. This system could be especially useful for global media platforms or international organizations combating disinformation.</t>
  </si>
  <si>
    <t>Automated Code Review Assistant Using Static Analysis and Machine Learning</t>
  </si>
  <si>
    <t>Code review is a critical step in the software development lifecycle but is often time-consuming and inconsistent. This project proposes an intelligent code review assistant that integrates static code analysis tools (e.g., SonarQube) with machine learning models trained on historical code review data. The system will automatically detect common bugs, code smells, and violations of coding standards, and suggest improvements based on prior reviews. The goal is to enhance code quality and reduce manual review efforts, particularly for large-scale or distributed development teams.</t>
  </si>
  <si>
    <t>Automated Testing Suite for RESTful APIs</t>
  </si>
  <si>
    <t>Testing REST APIs is essential to ensure backend reliability and consistency. This project involves building an automated testing tool that reads OpenAPI (Swagger) specifications to generate and run test cases for API endpoints. The tool will test for functionality, edge cases, and security vulnerabilities (e.g., SQL injection, broken authentication). It will include a web-based dashboard to show test coverage, response time, and success rates, supporting CI/CD integration.</t>
  </si>
  <si>
    <t>#</t>
  </si>
  <si>
    <t>Student ID</t>
  </si>
  <si>
    <t>Program</t>
  </si>
  <si>
    <t>Student Name</t>
  </si>
  <si>
    <t>Email Address</t>
  </si>
  <si>
    <t>GPA after Fall 24</t>
  </si>
  <si>
    <t>Estimated earned 
Credits after Spring 25</t>
  </si>
  <si>
    <t>GPA after Spring 25</t>
  </si>
  <si>
    <t>Accual earned 
Credits after Spring 25</t>
  </si>
  <si>
    <t>Assigned</t>
  </si>
  <si>
    <t>AI</t>
  </si>
  <si>
    <t>Saif Eldin Mohamed Rady</t>
  </si>
  <si>
    <t>S.Mohamed2254@nu.edu.eg</t>
  </si>
  <si>
    <t>Ahmed Amin Amin</t>
  </si>
  <si>
    <t>A.Amin2243@nu.edu.eg</t>
  </si>
  <si>
    <t>Mustafa Mohamed Zakaria AbdelSalam Ahmed Sultan</t>
  </si>
  <si>
    <t>M.Mohamed2232@nu.edu.eg</t>
  </si>
  <si>
    <t>Zeyad Mohsen Elkahwagi</t>
  </si>
  <si>
    <t>Z.Mohsen@nu.edu.eg</t>
  </si>
  <si>
    <t>Doaa Mahdy Agha</t>
  </si>
  <si>
    <t>D.Mahdy2224@nu.edu.eg</t>
  </si>
  <si>
    <t>Jana Ayman Ahmed Radwan</t>
  </si>
  <si>
    <t>J.Ayman2210@nu.edu.eg</t>
  </si>
  <si>
    <t>Karim raouf mostafa</t>
  </si>
  <si>
    <t>k.raouf2228@nu.edu.eg</t>
  </si>
  <si>
    <t>Amenah Medhat Moselhy</t>
  </si>
  <si>
    <t>a.Medhat2292@nu.edu.eg</t>
  </si>
  <si>
    <t>Seif Usama kassab</t>
  </si>
  <si>
    <t>s.Usama2251@nu.edu.eg</t>
  </si>
  <si>
    <t>Mohamed Ibrahim Salama</t>
  </si>
  <si>
    <t>M.Ibrahim2198@nu.edu.eg</t>
  </si>
  <si>
    <t>Farida Sheref Salah</t>
  </si>
  <si>
    <t>F.Sheref2223@nu.edu.eg</t>
  </si>
  <si>
    <t>Mohamed Sherif Hassan El sayd Elian sherif Elian</t>
  </si>
  <si>
    <t>M.sherif2242@nu.edu.eg</t>
  </si>
  <si>
    <t>KARIM MOHAMED ABDALLA</t>
  </si>
  <si>
    <t>K.MOHAMED2247@nu.edu.eg</t>
  </si>
  <si>
    <t>Shorouk Sherif Elbehairy</t>
  </si>
  <si>
    <t>S.Sherif2245@nu.edu.eg</t>
  </si>
  <si>
    <t>Ranim Hisham Niazy</t>
  </si>
  <si>
    <t>R.Hisham2259@nu.edu.eg</t>
  </si>
  <si>
    <t>Hossam Nasr Mohamed</t>
  </si>
  <si>
    <t>H.Nasr2270@nu.edu.eg</t>
  </si>
  <si>
    <t>Amr Hossam Gamal</t>
  </si>
  <si>
    <t>A.Hossam2232@nu.edu.eg</t>
  </si>
  <si>
    <t>Ahmed Hazem Hassan</t>
  </si>
  <si>
    <t>A.Hazem2299@nu.edu.eg</t>
  </si>
  <si>
    <t>Farida Amr Farouk</t>
  </si>
  <si>
    <t>f.Amr2237@nu.edu.eg</t>
  </si>
  <si>
    <t>Ahmed Kamal Helmy</t>
  </si>
  <si>
    <t>A.Kamal2224@nu.edu.eg</t>
  </si>
  <si>
    <t>Mohamed Nashaat Ibrahim Hassan</t>
  </si>
  <si>
    <t>M.Nashaat2265@nu.edu.eg</t>
  </si>
  <si>
    <t>Farah mohamed ibrahem</t>
  </si>
  <si>
    <t>f.mohamed2292@nu.edu.eg</t>
  </si>
  <si>
    <t>Mohamed Osama Badr</t>
  </si>
  <si>
    <t>M.Osama2247@nu.edu.eg</t>
  </si>
  <si>
    <t>Mohamed Hossam Abdelhamid</t>
  </si>
  <si>
    <t>M.Hossam2201@nu.edu.eg</t>
  </si>
  <si>
    <t>Arwa sameh salah</t>
  </si>
  <si>
    <t>A.sameh2192@nu.edu.eg</t>
  </si>
  <si>
    <t>Omar sherif shalan</t>
  </si>
  <si>
    <t>o.sherif2247@nu.edu.eg</t>
  </si>
  <si>
    <t>Omar Mohamed Radwan</t>
  </si>
  <si>
    <t>O.Mohamed2247@nu.edu.eg</t>
  </si>
  <si>
    <t>Khetam MOHAMED FARHAN almasrany</t>
  </si>
  <si>
    <t>k.MOHAMED2270@nu.edu.eg</t>
  </si>
  <si>
    <t>Nezar Emadeldin Abdelmonem koutb</t>
  </si>
  <si>
    <t>N.Emadeldin2293@nu.edu.eg</t>
  </si>
  <si>
    <t>Karim ayman salah elden</t>
  </si>
  <si>
    <t>k.ayman2246@nu.edu.eg</t>
  </si>
  <si>
    <t>Zeina Ahmed Mostafa</t>
  </si>
  <si>
    <t>Z.Ahmed2272@nu.edu.eg</t>
  </si>
  <si>
    <t>Malak mohammed abdalazim</t>
  </si>
  <si>
    <t>M.mohammed2217@nu.edu.eg</t>
  </si>
  <si>
    <t>Daniel Maged Salaheldin Ebeid</t>
  </si>
  <si>
    <t>D.Maged2218@nu.edu.eg</t>
  </si>
  <si>
    <t>Fares Ahmed Moustafa</t>
  </si>
  <si>
    <t>F.Ahmed2270@nu.edu.eg</t>
  </si>
  <si>
    <t>Shahd Ayman nagah</t>
  </si>
  <si>
    <t>S.Ayman2281@nu.edu.eg</t>
  </si>
  <si>
    <t>ABDALLA MAHER BAKR</t>
  </si>
  <si>
    <t>A.BAKR@nu.edu.eg</t>
  </si>
  <si>
    <t>Hana Hatem Elgabry</t>
  </si>
  <si>
    <t>H.Hatem2262@nu.edu.eg</t>
  </si>
  <si>
    <t>Mazen Khaled Mohamed AbdElMoneim Morsy</t>
  </si>
  <si>
    <t>M.Khaled2286@nu.edu.eg</t>
  </si>
  <si>
    <t>Yousef Mahmoud Alghazali</t>
  </si>
  <si>
    <t>Y.Mahmoud2227@nu.edu.eg</t>
  </si>
  <si>
    <t>Noor Akram Alzoghby</t>
  </si>
  <si>
    <t>N.Akram2204@nu.edu.eg</t>
  </si>
  <si>
    <t>Mohamed Yehia Youssef</t>
  </si>
  <si>
    <t>M.Yehia2215@nu.edu.eg</t>
  </si>
  <si>
    <t>Omar Hesham Ghareeb</t>
  </si>
  <si>
    <t>O.Hesham2141@nu.edu.eg</t>
  </si>
  <si>
    <t>Malak Moaaz Faramawy</t>
  </si>
  <si>
    <t>M.Moaaz2244@nu.edu.eg</t>
  </si>
  <si>
    <t>Amr Khaled Eldesouky</t>
  </si>
  <si>
    <t>A.Khaled2221@nu.edu.eg</t>
  </si>
  <si>
    <t>Amr Mohamed El Hassaneen</t>
  </si>
  <si>
    <t>A.Mohamed2220@nu.edu.eg</t>
  </si>
  <si>
    <t>Youssef Ayman Ibrahim</t>
  </si>
  <si>
    <t>Y.Ayman2224@nu.edu.eg</t>
  </si>
  <si>
    <t>Jana Khaled Aly</t>
  </si>
  <si>
    <t>J.Khaled2250@nu.edu.eg</t>
  </si>
  <si>
    <t>jihad hamdy eldestawey</t>
  </si>
  <si>
    <t>j.hamdy2255@nu.edu.eg</t>
  </si>
  <si>
    <t>Ali mostafa zorkany</t>
  </si>
  <si>
    <t>a.mostafa2211@nu.edu.eg</t>
  </si>
  <si>
    <t>Mohamed Nehad Nasser</t>
  </si>
  <si>
    <t>M.Nehad2282@nu.edu.eg</t>
  </si>
  <si>
    <t>Seif ahmed hussien</t>
  </si>
  <si>
    <t>s.ahmed2266@nu.edu.eg</t>
  </si>
  <si>
    <t>Mohamed Ayoub Khabiry</t>
  </si>
  <si>
    <t>M.Ayoub2228@nu.edu.eg</t>
  </si>
  <si>
    <t>BMD</t>
  </si>
  <si>
    <t>Hagar Mohamed Abdelhalim</t>
  </si>
  <si>
    <t>H.Mohamed2255@nu.edu.eg</t>
  </si>
  <si>
    <t>Nouran mohamed abdaalah</t>
  </si>
  <si>
    <t>n.abdaalah@nu.edu.eg</t>
  </si>
  <si>
    <t>Youssef Mohamed Elsaied</t>
  </si>
  <si>
    <t>You.Mohamed@nu.edu.eg</t>
  </si>
  <si>
    <t>Yousif mohamed metwally</t>
  </si>
  <si>
    <t>y.mohamed2271@nu.edu.eg</t>
  </si>
  <si>
    <t>Mallak Hesham Ahmed</t>
  </si>
  <si>
    <t>M.Hesham2246@nu.edu.eg</t>
  </si>
  <si>
    <t>Malak Hatem Mohamed</t>
  </si>
  <si>
    <t>M.Hatem2261@nu.edu.eg</t>
  </si>
  <si>
    <t>Mohamed Emad Ragab</t>
  </si>
  <si>
    <t>M.Emad2265@nu.edu.eg</t>
  </si>
  <si>
    <t>Christina maher lamey</t>
  </si>
  <si>
    <t>c.maher2205@nu.edu.eg</t>
  </si>
  <si>
    <t>Sara Abdelgaber Abozeid</t>
  </si>
  <si>
    <t>S.Abdelgaber2247@nu.edu.eg</t>
  </si>
  <si>
    <t>Dalia Saudi Ibrahim</t>
  </si>
  <si>
    <t>D.Saudi2248@nu.edu.eg</t>
  </si>
  <si>
    <t>Sandy Melad Philip</t>
  </si>
  <si>
    <t>S.Melad2265@nu.edu.eg</t>
  </si>
  <si>
    <t>Farida elhussainy mahmoud</t>
  </si>
  <si>
    <t>f.elhussainy2258@nu.edu.eg</t>
  </si>
  <si>
    <t>Hazem Mahmoud Mahmoud</t>
  </si>
  <si>
    <t>H.Mahmoud2211@nu.edu.eg</t>
  </si>
  <si>
    <t>Nagham samir sayed</t>
  </si>
  <si>
    <t>n.samir2297@nu.edu.eg</t>
  </si>
  <si>
    <t>Clara Saiid Fahim</t>
  </si>
  <si>
    <t>C.Saiid2294@nu.edu.eg</t>
  </si>
  <si>
    <t>Ahmed bahaaeldin abdou</t>
  </si>
  <si>
    <t>a.bahaaeldin2220@nu.edu.eg</t>
  </si>
  <si>
    <t>Mohammed Shady Mohammed</t>
  </si>
  <si>
    <t>M.Shady2218@nu.edu.eg</t>
  </si>
  <si>
    <t>Mariam cherif Elprince</t>
  </si>
  <si>
    <t>M.cherif2230@nu.edu.eg</t>
  </si>
  <si>
    <t>Ziad Mahmoud El Shazly</t>
  </si>
  <si>
    <t>Z.Mahmoud2282@nu.edu.eg</t>
  </si>
  <si>
    <t>Mohamed hesham mounir galal</t>
  </si>
  <si>
    <t>m.hesham2288@nu.edu.eg</t>
  </si>
  <si>
    <t>Hana Mahmoud Elashry</t>
  </si>
  <si>
    <t>H.Mahmoud2228@nu.edu.eg</t>
  </si>
  <si>
    <t>Shahd mostafa mohamed</t>
  </si>
  <si>
    <t>S.mostafa2217@nu.edu.eg</t>
  </si>
  <si>
    <t>Malak khalifa abd ellatif</t>
  </si>
  <si>
    <t>m.khalifa2213@nu.edu.eg</t>
  </si>
  <si>
    <t>Dareen Ahmed shaheen</t>
  </si>
  <si>
    <t>D.Ahmed2223@nu.edu.eg</t>
  </si>
  <si>
    <t>Katreen william Agaybe</t>
  </si>
  <si>
    <t>k.william2247@nu.edu.eg</t>
  </si>
  <si>
    <t>Khaled ahmed Ahmed</t>
  </si>
  <si>
    <t>k.ahmed2200@nu.edu.eg</t>
  </si>
  <si>
    <t>Abdelrhman Akram Omar</t>
  </si>
  <si>
    <t>Ab.Akram@nu.edu.eg</t>
  </si>
  <si>
    <t>Hana Hassan Ali</t>
  </si>
  <si>
    <t>H.Hassan2233@nu.edu.eg</t>
  </si>
  <si>
    <t>Ahmed Hany Alashker</t>
  </si>
  <si>
    <t>A.Hany2292@nu.edu.eg</t>
  </si>
  <si>
    <t>Nourhan Osman Samir</t>
  </si>
  <si>
    <t>N.Osman2173@nu.edu.eg</t>
  </si>
  <si>
    <t>Fady Morkos Farhan</t>
  </si>
  <si>
    <t>F.Morkos2244@nu.edu.eg</t>
  </si>
  <si>
    <t>Mohamed samy mamdouh</t>
  </si>
  <si>
    <t>moha.samy@nu.edu.eg</t>
  </si>
  <si>
    <t>Mahmoud Omar Mahmoud</t>
  </si>
  <si>
    <t>Mah.Omar@nu.edu.eg</t>
  </si>
  <si>
    <t>CS</t>
  </si>
  <si>
    <t>Omar Bassam Tawfik</t>
  </si>
  <si>
    <t>O.Bassam2207@nu.edu.eg</t>
  </si>
  <si>
    <t>Mohamed Walid Mansour</t>
  </si>
  <si>
    <t>M.Walid2220@nu.edu.eg</t>
  </si>
  <si>
    <t>Abdala Alaa Atia</t>
  </si>
  <si>
    <t>A.Alaa2236@nu.edu.eg</t>
  </si>
  <si>
    <t>Mahitap Ayman Abdelmawgoud</t>
  </si>
  <si>
    <t>M.Ayman2134@nu.edu.eg</t>
  </si>
  <si>
    <t>Farida Hazem Nasrat</t>
  </si>
  <si>
    <t>F.Hazem2214@nu.edu.eg</t>
  </si>
  <si>
    <t>Mohamed Ahmed Mahmoud</t>
  </si>
  <si>
    <t>M.Ahmed2200@nu.edu.eg</t>
  </si>
  <si>
    <t>shahd mansour Elkazzaz</t>
  </si>
  <si>
    <t>s.mansour2223@nu.edu.eg</t>
  </si>
  <si>
    <t>ziad wael reda</t>
  </si>
  <si>
    <t>z.wael2280@nu.edu.eg</t>
  </si>
  <si>
    <t>Ahmed Bahgt Ahmed Ali</t>
  </si>
  <si>
    <t>A.Bahgt2126@nu.edu.eg</t>
  </si>
  <si>
    <t>Omar Ahmed Abulkhair</t>
  </si>
  <si>
    <t>O.Ahmed2290@nu.edu.eg</t>
  </si>
  <si>
    <t>Youssef Ehab Abbas</t>
  </si>
  <si>
    <t>Y.Ehab2289@nu.edu.eg</t>
  </si>
  <si>
    <t>Abdulsalam Mohamed Elsayed</t>
  </si>
  <si>
    <t>A.Mohamed2222@nu.edu.eg</t>
  </si>
  <si>
    <t>Farida Ashraf Hanafy</t>
  </si>
  <si>
    <t>F.Ashraf2207@nu.edu.eg</t>
  </si>
  <si>
    <t>Hussin Yasser Allam</t>
  </si>
  <si>
    <t>H.Yasser2200@nu.edu.eg</t>
  </si>
  <si>
    <t>Mariem Mahmoud Abd Elaal Ahmed</t>
  </si>
  <si>
    <t>M.Mahmoud2206@nu.edu.eg</t>
  </si>
  <si>
    <t>mariam alaa AbdulBary</t>
  </si>
  <si>
    <t>m.alaa2219@nu.edu.eg</t>
  </si>
  <si>
    <t>Mohamed Hesham Ali</t>
  </si>
  <si>
    <t>M.Hesham2291@nu.edu.eg</t>
  </si>
  <si>
    <t>Abdullah Yasser Borai Ahmed Ismail</t>
  </si>
  <si>
    <t>A.Yasser2208@nu.edu.eg</t>
  </si>
  <si>
    <t>Mohamed Ibrahim Abo bakr</t>
  </si>
  <si>
    <t>M.Ibrahim2268@nu.edu.eg</t>
  </si>
  <si>
    <t>Menna Tamer Mohammed El Shahat El Halwagy</t>
  </si>
  <si>
    <t>M.Tamer2241@nu.edu.eg</t>
  </si>
  <si>
    <t>MAHMOUD ABD EL Bary EL NAGAR</t>
  </si>
  <si>
    <t>M.ABD2272@nu.edu.eg</t>
  </si>
  <si>
    <t>Mohammed Khaled Mohammed Elbayoumi</t>
  </si>
  <si>
    <t>M.Khaled2263@nu.edu.eg</t>
  </si>
  <si>
    <t>Amr Khaled Elnashar</t>
  </si>
  <si>
    <t>A.Khaled2261@nu.edu.eg</t>
  </si>
  <si>
    <t>samer ahmed elhossany</t>
  </si>
  <si>
    <t>s.ahmed2297@nu.edu.eg</t>
  </si>
  <si>
    <t>Moaz Reda Abdelhady Mustafa Elkhashab</t>
  </si>
  <si>
    <t>M.Reda2232@nu.edu.eg</t>
  </si>
  <si>
    <t>seif hassan abdelaziz</t>
  </si>
  <si>
    <t>s.hassan2269@nu.edu.eg</t>
  </si>
  <si>
    <t>Shaden Mohamed Abdelsalam</t>
  </si>
  <si>
    <t>S.Mohamed2237@nu.edu.eg</t>
  </si>
  <si>
    <t>Eyad Osama Aly</t>
  </si>
  <si>
    <t>E.Osama2265@nu.edu.eg</t>
  </si>
  <si>
    <t>FARAH AHMED ABDEL BAKI ABDEL BARI</t>
  </si>
  <si>
    <t>F.AHMED2269@nu.edu.eg</t>
  </si>
  <si>
    <t>zaynab essam abdullah</t>
  </si>
  <si>
    <t>z.essam2223@nu.edu.eg</t>
  </si>
  <si>
    <t>malak ahmed mohammed shams eldeen</t>
  </si>
  <si>
    <t>m.ahmed2292@nu.edu.eg</t>
  </si>
  <si>
    <t>Youssef Essam Fathy</t>
  </si>
  <si>
    <t>Y.Essam2256@nu.edu.eg</t>
  </si>
  <si>
    <t>Moustafa Mohamed Elshikh</t>
  </si>
  <si>
    <t>M.Mohamed2262@nu.edu.eg</t>
  </si>
  <si>
    <t>Omar Mohamed Mahmoud</t>
  </si>
  <si>
    <t>O.Mohamed2295@nu.edu.eg</t>
  </si>
  <si>
    <t>Sara Ahmed Talaat</t>
  </si>
  <si>
    <t>S.Ahmed2244@nu.edu.eg</t>
  </si>
  <si>
    <t>Sama Mohamed El Desouky</t>
  </si>
  <si>
    <t>S.Mohamed2279@nu.edu.eg</t>
  </si>
  <si>
    <t>Gamal Mohamed William</t>
  </si>
  <si>
    <t>G.Mohamed2210@nu.edu.eg</t>
  </si>
  <si>
    <t>Radwa Eldabe Ahmed</t>
  </si>
  <si>
    <t>R.Eldabe2274@nu.edu.eg</t>
  </si>
  <si>
    <t>Rawan ahmed elwakeel</t>
  </si>
  <si>
    <t>R.ahmed2238@nu.edu.eg</t>
  </si>
  <si>
    <t>Nouran Adel Omar Mohamed Ahmed</t>
  </si>
  <si>
    <t>N.Adel2267@nu.edu.eg</t>
  </si>
  <si>
    <t>Nada Gamal Zaki</t>
  </si>
  <si>
    <t>N.Gamal2229@nu.edu.eg</t>
  </si>
  <si>
    <t>Fares Hany Mohamed</t>
  </si>
  <si>
    <t>F.Hany2246@nu.edu.eg</t>
  </si>
  <si>
    <t>Abdelrahman Moustafa Ahmed Alsammany</t>
  </si>
  <si>
    <t>A.Moustafa2215@nu.edu.eg</t>
  </si>
  <si>
    <t>Mohamed Ahmed Awes</t>
  </si>
  <si>
    <t>M.Ahmed2231@nu.edu.eg</t>
  </si>
  <si>
    <t>Yassin Suleiman Hamad</t>
  </si>
  <si>
    <t>Y.Suleiman2248@nu.edu.eg</t>
  </si>
  <si>
    <t>Abdelrahman Mohamed Alamir</t>
  </si>
  <si>
    <t>A.Mohamed2224@nu.edu.eg</t>
  </si>
  <si>
    <t>omar abdelrahman mohamed elhossiny</t>
  </si>
  <si>
    <t>o.abdelrahman2228@nu.edu.eg</t>
  </si>
  <si>
    <t>kareem mohamed tantawi</t>
  </si>
  <si>
    <t>k.mohamed2221@nu.edu.eg</t>
  </si>
  <si>
    <t>yara mahmoud hanafy</t>
  </si>
  <si>
    <t>y.mahmoud2254@nu.edu.eg</t>
  </si>
  <si>
    <t>alaa saad sultan</t>
  </si>
  <si>
    <t>a.saad2255@nu.edu.eg</t>
  </si>
  <si>
    <t>AbdelRahman Ehab Rahal</t>
  </si>
  <si>
    <t>A.Ehab2243@nu.edu.eg</t>
  </si>
  <si>
    <t>Haneen Aly Abd Elkader</t>
  </si>
  <si>
    <t>H.Aly2289@nu.edu.eg</t>
  </si>
  <si>
    <t>Mohamed Mahmoud Saleh</t>
  </si>
  <si>
    <t>M.Mahmoud2219@nu.edu.eg</t>
  </si>
  <si>
    <t>hadeel Mohamed kotb</t>
  </si>
  <si>
    <t>h.Mohamed2262@nu.edu.eg</t>
  </si>
  <si>
    <t>Fady Muhammad Farouk</t>
  </si>
  <si>
    <t>F.Muhammad2241@nu.edu.eg</t>
  </si>
  <si>
    <t>hossam aldeen rabie shehata mohamed elghazaly</t>
  </si>
  <si>
    <t>h.rabie2272@nu.edu.eg</t>
  </si>
  <si>
    <t>Hamdy Tamer Hamdy</t>
  </si>
  <si>
    <t>H.Tamer2280@nu.edu.eg</t>
  </si>
  <si>
    <t>Mohamed Hassan Ahmed</t>
  </si>
  <si>
    <t>M.Hassan2205@nu.edu.eg</t>
  </si>
  <si>
    <t>Hassan Sabry Mabrouk</t>
  </si>
  <si>
    <t>H.Sabry2207@nu.edu.eg</t>
  </si>
  <si>
    <t>Rahma Kamal Mohamed</t>
  </si>
  <si>
    <t>R.Kamal2214@nu.edu.eg</t>
  </si>
  <si>
    <t>youssef samy mohamed</t>
  </si>
  <si>
    <t>y.samy2275@nu.edu.eg</t>
  </si>
  <si>
    <t>Nirvana Nader Saber</t>
  </si>
  <si>
    <t>N.Nader2296@nu.edu.eg</t>
  </si>
  <si>
    <t>Amina youssef seddik</t>
  </si>
  <si>
    <t>A.youssef2219@nu.edu.eg</t>
  </si>
  <si>
    <t>Mahmoud Ahmed Elborm</t>
  </si>
  <si>
    <t>M.Ahmed2268@nu.edu.eg</t>
  </si>
  <si>
    <t>Haidy Hamed Gouda</t>
  </si>
  <si>
    <t>H.Hamed2272@nu.edu.eg</t>
  </si>
  <si>
    <t>Alaa khaled ben elwaleed Abdelaal</t>
  </si>
  <si>
    <t>A.khaled2277@nu.edu.eg</t>
  </si>
  <si>
    <t>Yomna awad Khairy</t>
  </si>
  <si>
    <t>Y.awad2296@nu.edu.eg</t>
  </si>
  <si>
    <t>Mohamed Amir Elafify</t>
  </si>
  <si>
    <t>M.Amir2209@nu.edu.eg</t>
  </si>
  <si>
    <t>ahmed mohamed helmy khairallah</t>
  </si>
  <si>
    <t>a.mohamed2211@nu.edu.eg</t>
  </si>
  <si>
    <t>Merna Khaled Mahmoud</t>
  </si>
  <si>
    <t>M.Khaled2214@nu.edu.eg</t>
  </si>
  <si>
    <t>Mohammed Ahmed Elmorsy</t>
  </si>
  <si>
    <t>M.Elmorsy2219@nu.edu.eg</t>
  </si>
  <si>
    <t>LAILA MOHAMED SAMIR</t>
  </si>
  <si>
    <t>L.MOHAMED2257@nu.edu.eg</t>
  </si>
  <si>
    <t>mohammed haitham mohamed refat</t>
  </si>
  <si>
    <t>m.haitham2283@nu.edu.eg</t>
  </si>
  <si>
    <t>Sherin Shady Elmanzalawy</t>
  </si>
  <si>
    <t>S.Shady2208@nu.edu.eg</t>
  </si>
  <si>
    <t>Nosaiba Ahmed Mekawy</t>
  </si>
  <si>
    <t>N.Ahmed2215@nu.edu.eg</t>
  </si>
  <si>
    <t>Zeyad Khaled Hassan Rizk</t>
  </si>
  <si>
    <t>Z.Khaled2239@nu.edu.eg</t>
  </si>
  <si>
    <t>omar mohamed ismail</t>
  </si>
  <si>
    <t>o.mohamed2208@nu.edu.eg</t>
  </si>
  <si>
    <t>Mohamed Khaled Yahia</t>
  </si>
  <si>
    <t>M.Khaled2241@nu.edu.eg</t>
  </si>
  <si>
    <t>sara youssef Eshaq</t>
  </si>
  <si>
    <t>s.youssef2266@nu.edu.eg</t>
  </si>
  <si>
    <t>Mohannad Mohammad Madi</t>
  </si>
  <si>
    <t>M.Mohammad2239@nu.edu.eg</t>
  </si>
  <si>
    <t>malak Eissa Raafat</t>
  </si>
  <si>
    <t>m.Eissa2254@nu.edu.eg</t>
  </si>
  <si>
    <t>Alia Ashraf Mostafa</t>
  </si>
  <si>
    <t>A.Ashraf2294@nu.edu.eg</t>
  </si>
  <si>
    <t>Mohamed Khaled Osman</t>
  </si>
  <si>
    <t>M.Osman2122@nu.edu.eg</t>
  </si>
  <si>
    <t>Mona Gomaa Elsayed</t>
  </si>
  <si>
    <t>M.Gomaa2215@nu.edu.eg</t>
  </si>
  <si>
    <t>rwan ashraf elawady</t>
  </si>
  <si>
    <t>r.ashraf2257@nu.edu.eg</t>
  </si>
  <si>
    <t>hanin fathy ramsis fathy</t>
  </si>
  <si>
    <t>h.fathy2280@nu.edu.eg</t>
  </si>
  <si>
    <t>Mohamed yasser goma</t>
  </si>
  <si>
    <t>M.yasser2223@nu.edu.eg</t>
  </si>
  <si>
    <t>Mohamed Mohamed Nasr</t>
  </si>
  <si>
    <t>M.Mohamed2289@nu.edu.eg</t>
  </si>
  <si>
    <t>Ali Salah Mohammed</t>
  </si>
  <si>
    <t>A.Salah2295@nu.edu.eg</t>
  </si>
  <si>
    <t>Motaz Hazem Nassar</t>
  </si>
  <si>
    <t>M.Hazem2218@nu.edu.eg</t>
  </si>
  <si>
    <t>Ameena Yahya Gamal Eldin</t>
  </si>
  <si>
    <t>A.Yahya2273@nu.edu.eg</t>
  </si>
  <si>
    <t>Sohaila Rezk Salama</t>
  </si>
  <si>
    <t>S.Rezk2276@nu.edu.eg</t>
  </si>
  <si>
    <t>Omar Ashraf Mohamed</t>
  </si>
  <si>
    <t>O.Ashraf2293@nu.edu.eg</t>
  </si>
  <si>
    <t>ibrahim alaa ibrahim</t>
  </si>
  <si>
    <t>i.alaa2237@nu.edu.eg</t>
  </si>
  <si>
    <t>Rawan Mohamed Tawfeik Mohamed</t>
  </si>
  <si>
    <t>R.Mohamed2242@nu.edu.eg</t>
  </si>
  <si>
    <t>Yousif nasr elnahass</t>
  </si>
  <si>
    <t>Y.nasr2211@nu.edu.eg</t>
  </si>
  <si>
    <t>shahd mohamed zein</t>
  </si>
  <si>
    <t>s.mohamed2260@nu.edu.eg</t>
  </si>
  <si>
    <t>Abdelrahman Mohamed Abdelmonem Selim</t>
  </si>
  <si>
    <t>A.Mohamed2255@nu.edu.eg</t>
  </si>
  <si>
    <t>Mahmoud Mohamed Abdgelil</t>
  </si>
  <si>
    <t>M.Mohamed2213@nu.edu.eg</t>
  </si>
  <si>
    <t>Amr Abdelhalim Emara</t>
  </si>
  <si>
    <t>A.Abdelhalim2271@nu.edu.eg</t>
  </si>
  <si>
    <t>Nour Mohamed El sharkawy</t>
  </si>
  <si>
    <t>N.Mohamed2258@nu.edu.eg</t>
  </si>
  <si>
    <t>mohamed samir Abd ELGhany</t>
  </si>
  <si>
    <t>m.samir2286@nu.edu.eg</t>
  </si>
  <si>
    <t>Mohamed Nasser Abdul Raouf</t>
  </si>
  <si>
    <t>M.Nasser2209@nu.edu.eg</t>
  </si>
  <si>
    <t>Habiba Yahya Ragaey</t>
  </si>
  <si>
    <t>H.Yahya2214@nu.edu.eg</t>
  </si>
  <si>
    <t>Adham Ahmad Osama</t>
  </si>
  <si>
    <t>A.Ahmad2252@nu.edu.eg</t>
  </si>
  <si>
    <t>Abdullah Mohamed Saber</t>
  </si>
  <si>
    <t>A.Mohammed2256@nu.edu.eg</t>
  </si>
  <si>
    <t>Eman khalid Elkalawy</t>
  </si>
  <si>
    <t>E.khalid2258@nu.edu.eg</t>
  </si>
  <si>
    <t>Doha Khaled Mahmoud</t>
  </si>
  <si>
    <t>D.Khaled2279@nu.edu.eg</t>
  </si>
  <si>
    <t>merna salah abdelwahab</t>
  </si>
  <si>
    <t>m.salah2284@nu.edu.eg</t>
  </si>
  <si>
    <t>ENGY ahmed saleh</t>
  </si>
  <si>
    <t>E.ahmed2287@nu.edu.eg</t>
  </si>
  <si>
    <t>shahd amr zaki</t>
  </si>
  <si>
    <t>s.amr2247@nu.edu.eg</t>
  </si>
  <si>
    <t>Yousef Ahmed Yehia</t>
  </si>
  <si>
    <t>Y.Ahmed2299@nu.edu.eg</t>
  </si>
  <si>
    <t>Marwan Mohamed ibrahim</t>
  </si>
  <si>
    <t>M.Mohamed2206@nu.edu.eg</t>
  </si>
  <si>
    <t>Yasser Mohamed Abd elghany</t>
  </si>
  <si>
    <t>Y.Mohamed2283@nu.edu.eg</t>
  </si>
  <si>
    <t>MERNA SAMIR wesa</t>
  </si>
  <si>
    <t>M.SAMIR2200@nu.edu.eg</t>
  </si>
  <si>
    <t>Jana Ahmed Mokhtar</t>
  </si>
  <si>
    <t>J.Ahmed2203@nu.edu.eg</t>
  </si>
  <si>
    <t>Fadwa Hany Elfayoumy</t>
  </si>
  <si>
    <t>F.Hany2216@nu.edu.eg</t>
  </si>
  <si>
    <t>Rahma Khaled</t>
  </si>
  <si>
    <t>R.2244@nu.edu.eg</t>
  </si>
  <si>
    <t>shahd rafat gamil</t>
  </si>
  <si>
    <t>s.rafat2278@nu.edu.eg</t>
  </si>
  <si>
    <t>judyahmed mahmoud elkara</t>
  </si>
  <si>
    <t>j.mahmoud2298@nu.edu.eg</t>
  </si>
  <si>
    <t>Zein eldeen waleed zein elabdeen</t>
  </si>
  <si>
    <t>Z.waleed2282@nu.edu.eg</t>
  </si>
  <si>
    <t>Yassin Mohsen Elgendy</t>
  </si>
  <si>
    <t>Y.Mohsen2249@nu.edu.eg</t>
  </si>
  <si>
    <t>Mahmoud Mohamed Taher</t>
  </si>
  <si>
    <t>Mah.Mohamed@nu.edu.eg</t>
  </si>
  <si>
    <t>Hisham Loay Hashish</t>
  </si>
  <si>
    <t>H.Loay2268@nu.edu.eg</t>
  </si>
  <si>
    <t>Abdullah Raafat Mohamed Anany</t>
  </si>
  <si>
    <t>A.Raafat2295@nu.edu.eg</t>
  </si>
  <si>
    <t>fatma mohamed osman</t>
  </si>
  <si>
    <t>f.mohamed2209@nu.edu.eg</t>
  </si>
  <si>
    <t>Mazen Hossam El Din Omran</t>
  </si>
  <si>
    <t>M.Hossam2223@nu.edu.eg</t>
  </si>
  <si>
    <t>Haya Osama Nabil</t>
  </si>
  <si>
    <t>H.Osama2298@nu.edu.eg</t>
  </si>
  <si>
    <t>Ganna Saad ELGharbawy</t>
  </si>
  <si>
    <t>G.Saad2228@nu.edu.eg</t>
  </si>
  <si>
    <t>sherif ahmed mahmoud</t>
  </si>
  <si>
    <t>s.ahmed2268@nu.edu.eg</t>
  </si>
  <si>
    <t>Ahmed Abdelsameea Mahmoud</t>
  </si>
  <si>
    <t>A.Abdelsameea@nu.edu.eg</t>
  </si>
  <si>
    <t>Ahmed Seif Eddeen Fateen</t>
  </si>
  <si>
    <t>A.Seif2293@nu.edu.eg</t>
  </si>
  <si>
    <t>Ali Elsaaed Elsaaed</t>
  </si>
  <si>
    <t>A.Elsaaed2208@nu.edu.eg</t>
  </si>
  <si>
    <t>Ahmed Hesham Rashad</t>
  </si>
  <si>
    <t>A.Hesham2235@nu.edu.eg</t>
  </si>
  <si>
    <t>Omar Refaat Ahmed</t>
  </si>
  <si>
    <t>O.Refaat2218@nu.edu.eg</t>
  </si>
  <si>
    <t>omar hassan mohamed</t>
  </si>
  <si>
    <t>o.hassan2298@nu.edu.eg</t>
  </si>
  <si>
    <t>Shahd Ayman Harera</t>
  </si>
  <si>
    <t>S.Ayman2224@nu.edu.eg</t>
  </si>
  <si>
    <t>Fathy Mahmoud Fathy</t>
  </si>
  <si>
    <t>F.Mahmoud2211@nu.edu.eg</t>
  </si>
  <si>
    <t>ahmed magdy elhussiney</t>
  </si>
  <si>
    <t>a.magdy2259@nu.edu.eg</t>
  </si>
  <si>
    <t>Mohamed masod abozed</t>
  </si>
  <si>
    <t>M.masod2293@nu.edu.eg</t>
  </si>
  <si>
    <t>Peter Alkis Bemen Botros</t>
  </si>
  <si>
    <t>P.Alkis2259@nu.edu.eg</t>
  </si>
  <si>
    <t>Amr Mohamed hamouda</t>
  </si>
  <si>
    <t>A.hamouda2276@nu.edu.eg</t>
  </si>
  <si>
    <t>MOHAMED el amir</t>
  </si>
  <si>
    <t>M.el2254@nu.edu.eg</t>
  </si>
  <si>
    <t>Tawfik Hisham Tawfik</t>
  </si>
  <si>
    <t>T.Hisham2218@nu.edu.eg</t>
  </si>
  <si>
    <t>Youssef maged makram</t>
  </si>
  <si>
    <t>Y.maged2295@nu.edu.eg</t>
  </si>
  <si>
    <t>hassan karam hanafy</t>
  </si>
  <si>
    <t>h.karam2261@nu.edu.eg</t>
  </si>
  <si>
    <t>Eslam Ashraf Shawky</t>
  </si>
  <si>
    <t>E.Ashraf2263@nu.edu.eg</t>
  </si>
  <si>
    <t>ziad mohamed hamada</t>
  </si>
  <si>
    <t>z.mohamed2270@nu.edu.eg</t>
  </si>
  <si>
    <t>amr khalid abdelmagid</t>
  </si>
  <si>
    <t>a.khalid2293@nu.edu.eg</t>
  </si>
  <si>
    <t>Andrew Samir Ghattas</t>
  </si>
  <si>
    <t>A.Samir2137@nu.edu.eg</t>
  </si>
  <si>
    <t>omar mohamed abdalla</t>
  </si>
  <si>
    <t>o.mohamed2282@nu.edu.eg</t>
  </si>
  <si>
    <t>nouran ahmed mohamed abdeen</t>
  </si>
  <si>
    <t>n.ahmed2207@nu.edu.eg</t>
  </si>
  <si>
    <t>Karim Mohamed El Qassas</t>
  </si>
  <si>
    <t>K.Mohamed2298@nu.edu.eg</t>
  </si>
  <si>
    <t>Hala Wael Hagag</t>
  </si>
  <si>
    <t>H.Wael2202@nu.edu.eg</t>
  </si>
  <si>
    <t>ahmed Amir Hendy</t>
  </si>
  <si>
    <t>a.Amir2223@nu.edu.eg</t>
  </si>
  <si>
    <t>ahmed Hussein Samir</t>
  </si>
  <si>
    <t>a.Hussein2240@nu.edu.eg</t>
  </si>
  <si>
    <t>Mariam Basem Aboelmaaty</t>
  </si>
  <si>
    <t>M.Basem2212@nu.edu.eg</t>
  </si>
  <si>
    <t>alaa atef ahmed mohamed</t>
  </si>
  <si>
    <t>a.atef2216@nu.edu.eg</t>
  </si>
  <si>
    <t>Mostafa Adel Abdullah</t>
  </si>
  <si>
    <t>M.Adel2265@nu.edu.eg</t>
  </si>
  <si>
    <t>Mousa Ashraf Abd El Malak</t>
  </si>
  <si>
    <t>M.Ashraf2295@nu.edu.eg</t>
  </si>
  <si>
    <t>Abdelrahman AHMED FOUAD</t>
  </si>
  <si>
    <t>A.AHMED2299@nu.edu.eg</t>
  </si>
  <si>
    <t>AHMED NASSER FADLI</t>
  </si>
  <si>
    <t>A.NASSER2286@nu.edu.eg</t>
  </si>
  <si>
    <t>Omar Sameh Elassal</t>
  </si>
  <si>
    <t>O.Sameh2252@nu.edu.eg</t>
  </si>
  <si>
    <t>Mohamed Emad Hamdy</t>
  </si>
  <si>
    <t>M.Emad2268@nu.edu.eg</t>
  </si>
  <si>
    <t>Hussin Ismaiel Selim Hussin</t>
  </si>
  <si>
    <t>H.Ismaiel2251@nu.edu.eg</t>
  </si>
  <si>
    <t>malak mohamed hassan</t>
  </si>
  <si>
    <t>m.hassan2247@nu.edu.eg</t>
  </si>
  <si>
    <t>A.Usama2269@nu.edu.eg</t>
  </si>
  <si>
    <t>Mohamed Waleed Eltwapty</t>
  </si>
  <si>
    <t>M.Waleed2261@nu.edu.eg</t>
  </si>
  <si>
    <t>yassin abdelmoneim amin</t>
  </si>
  <si>
    <t>y.abdelmoneim2284@nu.edu.eg</t>
  </si>
  <si>
    <t>Zeyad Mahmoud Shawky</t>
  </si>
  <si>
    <t>Z.Mahmoud2247@nu.edu.eg</t>
  </si>
  <si>
    <t>mostafa mohamed yehia</t>
  </si>
  <si>
    <t>m.mohamed2202@nu.edu.eg</t>
  </si>
  <si>
    <t>Abdelaziz Ahmed Bendary</t>
  </si>
  <si>
    <t>A.Ahmed2225@nu.edu.eg</t>
  </si>
  <si>
    <t>Samuel Saher Samir</t>
  </si>
  <si>
    <t>S.Saher2255@nu.edu.eg</t>
  </si>
  <si>
    <t>hoda emad elden sayed</t>
  </si>
  <si>
    <t>h.emad2207@nu.edu.eg</t>
  </si>
  <si>
    <t>Ahmed Hassan Gaffar</t>
  </si>
  <si>
    <t>A.Hassan2243@nu.edu.eg</t>
  </si>
  <si>
    <t>Kerolos adham amir</t>
  </si>
  <si>
    <t>K.adham2251@nu.edu.eg</t>
  </si>
  <si>
    <t>mahmoud osama mahmoud</t>
  </si>
  <si>
    <t>m.osama2275@nu.edu.eg</t>
  </si>
  <si>
    <t>fatma omar alsamman</t>
  </si>
  <si>
    <t>f.omar2271@nu.edu.eg</t>
  </si>
  <si>
    <t>Mohamed Elsherbiny Ibrahim</t>
  </si>
  <si>
    <t>M.Elsherbiny2264@nu.edu.eg</t>
  </si>
  <si>
    <t>mohamed abdallah semary</t>
  </si>
  <si>
    <t>Ahmed Hesham Abdelaziz</t>
  </si>
  <si>
    <t>Ahm.Abdelaziz@nu.edu.eg</t>
  </si>
  <si>
    <t>Ahmed hassan darwesh</t>
  </si>
  <si>
    <t>Ah.darwesh@nu.edu.eg</t>
  </si>
  <si>
    <t>Abd ElRahman Walid Maamoun</t>
  </si>
  <si>
    <t>A.Walid2196@nu.edu.eg</t>
  </si>
  <si>
    <t>Seif eldeen Hassan Mohamed</t>
  </si>
  <si>
    <t>S.Hassan2141@nu.edu.eg</t>
  </si>
  <si>
    <t>Ahmed Mohamed Baranek</t>
  </si>
  <si>
    <t>A.Mohamed2239@nu.edu.eg</t>
  </si>
  <si>
    <t>yuossef hassan moselhy</t>
  </si>
  <si>
    <t>y.hassan2250@nu.edu.eg</t>
  </si>
  <si>
    <t>Assem Eliwa hassanin</t>
  </si>
  <si>
    <t>A.Eliwa2248@nu.edu.eg</t>
  </si>
  <si>
    <t>youssef ali kamal</t>
  </si>
  <si>
    <t>y.ali2242@nu.edu.eg</t>
  </si>
  <si>
    <t>Ebrahim Mohamed Elessawy</t>
  </si>
  <si>
    <t>E.Mohamed2250@nu.edu.eg</t>
  </si>
  <si>
    <t>Abdelrahman Abdelsalam Shalaby</t>
  </si>
  <si>
    <t>A.Abdelsalam2264@nu.edu.eg</t>
  </si>
  <si>
    <t>Abdallah Mohamed Helmy</t>
  </si>
  <si>
    <t>Mohamed Abdelhafiz Mohamed elshahir abdellah</t>
  </si>
  <si>
    <t>M.Abdelhafiz2217@nu.edu.eg</t>
  </si>
  <si>
    <t>Mahmoud Mohamed Elmahdy</t>
  </si>
  <si>
    <t>M.Elmahdy2179@nu.edu.eg</t>
  </si>
  <si>
    <t>Mohamed tarek eldesouky</t>
  </si>
  <si>
    <t>M.tarek2201@nu.edu.eg</t>
  </si>
  <si>
    <t>Mohamed Ahmed Helmy</t>
  </si>
  <si>
    <t>M.Ahmed2212@nu.edu.eg</t>
  </si>
  <si>
    <t>Rana Shehtta Gaber</t>
  </si>
  <si>
    <t>R.Shehtta2275@nu.edu.eg</t>
  </si>
  <si>
    <t>alaa sari erfan</t>
  </si>
  <si>
    <t>a.sari2279@nu.edu.eg</t>
  </si>
  <si>
    <t>Ahmed Osama Hanafy</t>
  </si>
  <si>
    <t>A.Osama2224@nu.edu.eg</t>
  </si>
  <si>
    <t>Youssef Ahmed abdellaziz</t>
  </si>
  <si>
    <t>Y.Ahmed2262@nu.edu.eg</t>
  </si>
  <si>
    <t>Mahmoud Khalaf Mohammed</t>
  </si>
  <si>
    <t>M.Khalaf2289@nu.edu.eg</t>
  </si>
  <si>
    <t>Moaz Ahmed Badran</t>
  </si>
  <si>
    <t>M.Ahmed2252@nu.edu.eg</t>
  </si>
  <si>
    <t>Alzahraa Saeed Gwyly</t>
  </si>
  <si>
    <t>A.Saeed2268@nu.edu.eg</t>
  </si>
  <si>
    <t>Omar Moustafa Othman</t>
  </si>
  <si>
    <t>O.Moustafa2273@nu.edu.eg</t>
  </si>
  <si>
    <t>Ahmed Mahmoud Fouad</t>
  </si>
  <si>
    <t>A.Mahmoud2285@nu.edu.eg</t>
  </si>
  <si>
    <t>Aly Mohamed Sakr</t>
  </si>
  <si>
    <t>A.Mohamed2250@nu.edu.eg</t>
  </si>
  <si>
    <t>Hussein Tarek Nashed</t>
  </si>
  <si>
    <t>H.Tarek2258@nu.edu.eg</t>
  </si>
  <si>
    <t>Mohamed gamal Elmorsy</t>
  </si>
  <si>
    <t>M.gamal2212@nu.edu.eg</t>
  </si>
  <si>
    <t>Yehia Moataz Sayed</t>
  </si>
  <si>
    <t>Y.Moataz2325@nu.edu.eg</t>
  </si>
  <si>
    <t>Ahmed Mohamed AbdelFattah</t>
  </si>
  <si>
    <t>Ah.AbdelFattah@nu.edu.eg</t>
  </si>
  <si>
    <t>Mina Hany Tadres</t>
  </si>
  <si>
    <t>M.Hany2133@nu.edu.eg</t>
  </si>
  <si>
    <t>Ziad Ahmed Salah</t>
  </si>
  <si>
    <t>Z.Ahmed2253@nu.edu.eg</t>
  </si>
  <si>
    <t>Mohamed Magdy Mohamed</t>
  </si>
  <si>
    <t>M.Magdy2291@nu.edu.eg</t>
  </si>
  <si>
    <t>anas Abdelhakim abdelgayed</t>
  </si>
  <si>
    <t>a.Abdelhakim2251@nu.edu.eg</t>
  </si>
  <si>
    <t>ALI makhlouf MAKHLOUF</t>
  </si>
  <si>
    <t>A.makhlouf2235@nu.edu.eg</t>
  </si>
  <si>
    <t>Adham Ahmed Mohamed</t>
  </si>
  <si>
    <t>A.Ahmed2283@nu.edu.eg</t>
  </si>
  <si>
    <t>Ahmed Ghrbawi Abbas</t>
  </si>
  <si>
    <t>A.Ghrbawi2266@nu.edu.eg</t>
  </si>
  <si>
    <t>Omar Mohamed Magdy</t>
  </si>
  <si>
    <t>O.Mohamed2271@nu.edu.eg</t>
  </si>
  <si>
    <t>Mohamed Esam Gamal</t>
  </si>
  <si>
    <t>M.Esam2386@nu.edu.eg</t>
  </si>
  <si>
    <t>Abdallah Eissa Abdel hares</t>
  </si>
  <si>
    <t>A.Eissa2361@nu.edu.eg</t>
  </si>
  <si>
    <t>mohamed walid okab</t>
  </si>
  <si>
    <t>m.walid2201@nu.edu.eg</t>
  </si>
  <si>
    <t>Abdallah Basem Khalafallah</t>
  </si>
  <si>
    <t>A.Basem2257@nu.edu.eg</t>
  </si>
  <si>
    <t>aliaa nagdy abdullah</t>
  </si>
  <si>
    <t>a.nagdy2214@nu.edu.eg</t>
  </si>
  <si>
    <t>Pola Ashraf Amin</t>
  </si>
  <si>
    <t>P.Ashraf2204@nu.edu.eg</t>
  </si>
  <si>
    <t>AL BASEL WALEED HASSAN</t>
  </si>
  <si>
    <t>A.WALEED2227@nu.edu.eg</t>
  </si>
  <si>
    <t>Hesham ALI Habib</t>
  </si>
  <si>
    <t>H.ALI2294@nu.edu.eg</t>
  </si>
  <si>
    <t>Mostafa Ayman Elgindy</t>
  </si>
  <si>
    <t>M.Ayman2206@nu.edu.eg</t>
  </si>
  <si>
    <t>Omar Khalid olwy</t>
  </si>
  <si>
    <t>o.khalid@nu.edu.eg</t>
  </si>
  <si>
    <t>Omar alaa hassan</t>
  </si>
  <si>
    <t>O.hassan@nu.edu.eg</t>
  </si>
  <si>
    <t>eyad tamer madeh azzam</t>
  </si>
  <si>
    <t>e.tamer2271@nu.edu.eg</t>
  </si>
  <si>
    <t>Danya Khaled Zaky</t>
  </si>
  <si>
    <t>D.Khaled2245@nu.edu.eg</t>
  </si>
  <si>
    <t>Seif eldin adel Adel mahfouz Mahfouz abdelmagid</t>
  </si>
  <si>
    <t>S.Adel2244@nu.edu.eg</t>
  </si>
  <si>
    <t>Alhussein Abdulaziz Nagdy</t>
  </si>
  <si>
    <t>A.Abdulaziz2249@nu.edu.eg</t>
  </si>
  <si>
    <t>Moaz Alnoby Mohamed</t>
  </si>
  <si>
    <t>M.Alnoby2257@nu.edu.eg</t>
  </si>
  <si>
    <t>Ahmed Mahmoud Saleh</t>
  </si>
  <si>
    <t>Ahme.Saleh@nu.edu.eg</t>
  </si>
  <si>
    <t>kareem mahmoud abdelhamid</t>
  </si>
  <si>
    <t>ka.abdelhamid@nu.edu.eg</t>
  </si>
  <si>
    <t>saifeldin eslam elshaarawy</t>
  </si>
  <si>
    <t>s.eslam2201@nu.edu.eg</t>
  </si>
  <si>
    <t>Malik Ahmed Nagi</t>
  </si>
  <si>
    <t>M.Ahmed2253@nu.edu.eg</t>
  </si>
  <si>
    <t>Omar ahmed bahgat mostafa</t>
  </si>
  <si>
    <t>O.ahmed2205@nu.edu.eg</t>
  </si>
  <si>
    <t>Mohamed Tarek Abdelfattah</t>
  </si>
  <si>
    <t>M.Tarek2235@nu.edu.eg</t>
  </si>
  <si>
    <t>Fares Alaa Alaa Abdelaziz Abdelazim Fares khater</t>
  </si>
  <si>
    <t>F.Alaa2287@nu.edu.eg</t>
  </si>
  <si>
    <t>radwa emad mohamed</t>
  </si>
  <si>
    <t>r.emad2292@nu.edu.eg</t>
  </si>
  <si>
    <t>Ahmed Gamal Mohamed</t>
  </si>
  <si>
    <t>Ah.Dawood@nu.edu.eg</t>
  </si>
  <si>
    <t>yossif Fayez Mohammed</t>
  </si>
  <si>
    <t>Y.Fayez@nu.edu.eg</t>
  </si>
  <si>
    <t>ABDELRAHMAN ABDELNASSER ABDELMOTALB</t>
  </si>
  <si>
    <t>A.ABDELNASSER2268@nu.edu.eg</t>
  </si>
  <si>
    <t>Hamsa Refat Elfaky</t>
  </si>
  <si>
    <t>H.Refat2206@nu.edu.eg</t>
  </si>
  <si>
    <t>Eman Yasser Mohammed</t>
  </si>
  <si>
    <t>E.Yasser2258@nu.edu.eg</t>
  </si>
  <si>
    <t>Ahmed Esam Rashed</t>
  </si>
  <si>
    <t>A.Esam@nu.edu.eg</t>
  </si>
  <si>
    <t>Mohamed Mohamed Nabil Hafez</t>
  </si>
  <si>
    <t>M.Mohamed2104@nu.edu.eg</t>
  </si>
  <si>
    <t>Ali Hassan Elnaka</t>
  </si>
  <si>
    <t>A.Hassan2145@nu.edu.eg</t>
  </si>
  <si>
    <t>Mohamed Mahmoud Gad</t>
  </si>
  <si>
    <t>M.Mahmoud2296@nu.edu.eg</t>
  </si>
  <si>
    <t>ahmed hatem ahmed</t>
  </si>
  <si>
    <t>a.hatem2290@nu.edu.eg</t>
  </si>
  <si>
    <t>ghaidaa qubesy mahmoud</t>
  </si>
  <si>
    <t>g.qubesy2254@nu.edu.eg</t>
  </si>
  <si>
    <t>Yousef Ahmed Khattab</t>
  </si>
  <si>
    <t>Y.Khattab@nu.edu.eg</t>
  </si>
  <si>
    <t>ABDULRAHMAN MOHAMED SAAD</t>
  </si>
  <si>
    <t>A.MOHAMED2200@nu.edu.eg</t>
  </si>
  <si>
    <t>Ziad tawfik Elsewedy</t>
  </si>
  <si>
    <t>Z.tawfik2274@nu.edu.eg</t>
  </si>
  <si>
    <t>Mohammed Mahmood Hamed</t>
  </si>
  <si>
    <t>M.Mahmood2226@nu.edu.eg</t>
  </si>
  <si>
    <t>Amr Tarek Ismail</t>
  </si>
  <si>
    <t>A.Tarek2387@nu.edu.eg</t>
  </si>
  <si>
    <t>Mohamed Amr Mohamed</t>
  </si>
  <si>
    <t>M.Amr2108@nu.edu.eg</t>
  </si>
  <si>
    <t>Magdy Mahmoud Nasr</t>
  </si>
  <si>
    <t>M.Mahmoud2295@nu.edu.eg</t>
  </si>
  <si>
    <t>Mohamed hamada khedr</t>
  </si>
  <si>
    <t>M.hamada2237@nu.edu.eg</t>
  </si>
  <si>
    <t>Mohamed mahmoud ahmed</t>
  </si>
  <si>
    <t>M.mahmoud2256@nu.edu.eg</t>
  </si>
  <si>
    <t>Omar Magdy Abdel Mawla</t>
  </si>
  <si>
    <t>O.Magdy@nu.edu.eg</t>
  </si>
  <si>
    <t>E-mail address</t>
  </si>
  <si>
    <t>Course ID</t>
  </si>
  <si>
    <t>Semester</t>
  </si>
  <si>
    <t>AIS495</t>
  </si>
  <si>
    <t>Fall 25</t>
  </si>
  <si>
    <t>Abdelrahman Mohamed Abdelrahman</t>
  </si>
  <si>
    <t>A.Mohamed2233@nu.edu.eg</t>
  </si>
  <si>
    <t>Ahmed Hossam Abdelsalam</t>
  </si>
  <si>
    <t>A.Hossam2326@nu.edu.eg</t>
  </si>
  <si>
    <t>ali mostafa zorkany</t>
  </si>
  <si>
    <t>amenah Medhat Moselhy</t>
  </si>
  <si>
    <t>farah mohamed ibrahem</t>
  </si>
  <si>
    <t>farida Amr Farouk</t>
  </si>
  <si>
    <t>karim ayman salah elden</t>
  </si>
  <si>
    <t>karim raouf mostafa</t>
  </si>
  <si>
    <t>khetam MOHAMED FARHAN almasrany</t>
  </si>
  <si>
    <t>omar sherif shalan</t>
  </si>
  <si>
    <t>seif ahmed hussien</t>
  </si>
  <si>
    <t>seif Usama kassab</t>
  </si>
  <si>
    <t>abdelrahman shreif ahmed</t>
  </si>
  <si>
    <t>a.shreif2299@nu.edu.eg</t>
  </si>
  <si>
    <t>AIS496</t>
  </si>
  <si>
    <t>Adham ashraf hassan</t>
  </si>
  <si>
    <t>A.ashraf2133@nu.edu.eg</t>
  </si>
  <si>
    <t>ahmed hamdy fouad skr</t>
  </si>
  <si>
    <t>a.hamdyfouad@nu.edu.eg</t>
  </si>
  <si>
    <t>Ahmed Mohamed Abdelmoneim Ibrahim</t>
  </si>
  <si>
    <t>A.Mohamed2230@nu.edu.eg</t>
  </si>
  <si>
    <t>Mahmoud Ahmed Essa</t>
  </si>
  <si>
    <t>M.Ahmed2219@nu.edu.eg</t>
  </si>
  <si>
    <t>Marwan Mahmoud Adawi</t>
  </si>
  <si>
    <t>M.Mahmoud2179@nu.edu.eg</t>
  </si>
  <si>
    <t>Maryam Abdallah Mohamed</t>
  </si>
  <si>
    <t>M.Abdallah2202@nu.edu.eg</t>
  </si>
  <si>
    <t>Mohamed Ali Nassar</t>
  </si>
  <si>
    <t>M.Ali2265@nu.edu.eg</t>
  </si>
  <si>
    <t>Mohamed Hossam Nassar</t>
  </si>
  <si>
    <t>M.Hossam2225@nu.edu.eg</t>
  </si>
  <si>
    <t>Mohanned Mahmoud Abdelfatah</t>
  </si>
  <si>
    <t>M.Mahmoud2203@nu.edu.eg</t>
  </si>
  <si>
    <t>NourEldin Ayman Khalil</t>
  </si>
  <si>
    <t>N.Ayman2201@nu.edu.eg</t>
  </si>
  <si>
    <t>Reem Hussin Mostafa Ibrahim</t>
  </si>
  <si>
    <t>R.Hussin2241@nu.edu.eg</t>
  </si>
  <si>
    <t>Salah Elden Aly Salah</t>
  </si>
  <si>
    <t>Sa.Aly@nu.edu.eg</t>
  </si>
  <si>
    <t>BMD495</t>
  </si>
  <si>
    <t>ahmed bahaaeldin abdou</t>
  </si>
  <si>
    <t>christina maher lamey</t>
  </si>
  <si>
    <t>farida elhussainy mahmoud</t>
  </si>
  <si>
    <t>katreen william Agaybe</t>
  </si>
  <si>
    <t>malak khalifa abd ellatif</t>
  </si>
  <si>
    <t>mohamed hesham mounir galal</t>
  </si>
  <si>
    <t>mohamed samy mamdouh</t>
  </si>
  <si>
    <t>nagham samir sayed</t>
  </si>
  <si>
    <t>nouran mohamed abdaalah</t>
  </si>
  <si>
    <t>Fouad amin mohamed</t>
  </si>
  <si>
    <t>F.amin@nu.edu.eg</t>
  </si>
  <si>
    <t>BMD496</t>
  </si>
  <si>
    <t>CSCI495</t>
  </si>
  <si>
    <t>Abdallah Mohamed Salem</t>
  </si>
  <si>
    <t>A.Mohamed2281@nu.edu.eg</t>
  </si>
  <si>
    <t>ahmed mohie saleh</t>
  </si>
  <si>
    <t>a.mohie2149@nu.edu.eg</t>
  </si>
  <si>
    <t>Anfal Hamada Mohamed</t>
  </si>
  <si>
    <t>A.Hamada2265@nu.edu.eg</t>
  </si>
  <si>
    <t>hazem Mohamed Mahmoud</t>
  </si>
  <si>
    <t>h.Mohamed2125@nu.edu.eg</t>
  </si>
  <si>
    <t>khaled ahmed Ahmed</t>
  </si>
  <si>
    <t>mohamed essam eldein elsherbeny</t>
  </si>
  <si>
    <t>m.essam2167@nu.edu.eg</t>
  </si>
  <si>
    <t>Moslim Tamer Eldawi</t>
  </si>
  <si>
    <t>M.Tamer2210@nu.edu.eg</t>
  </si>
  <si>
    <t>Mostafa Gamal Amer</t>
  </si>
  <si>
    <t>M.Gamal2207@nu.edu.eg</t>
  </si>
  <si>
    <t>Omar Magdy Mohamwed Abdel Mawla</t>
  </si>
  <si>
    <t>yousif mohamed metwally</t>
  </si>
  <si>
    <t>Fady Zarif Deep</t>
  </si>
  <si>
    <t>F.Zarif2135@nu.edu.eg</t>
  </si>
  <si>
    <t>CSCI496</t>
  </si>
  <si>
    <t>Hamza Mohamed Saad Mohamed El Shennawy</t>
  </si>
  <si>
    <t>H.ElShennawy@nu.edu.eg</t>
  </si>
  <si>
    <t>Mahmoud Saad Sharaf</t>
  </si>
  <si>
    <t>M.Saad2104@nu.edu.eg</t>
  </si>
  <si>
    <t>Mazen Ahmed Amer</t>
  </si>
  <si>
    <t>M.Ahmed2144@nu.edu.eg</t>
  </si>
  <si>
    <t>Medhat Mohamed Zakareya</t>
  </si>
  <si>
    <t>M.Mohamed2164@nu.edu.eg</t>
  </si>
  <si>
    <t>Moamen Mahmoud Mohamed</t>
  </si>
  <si>
    <t>M.Mahmoud2149@nu.edu.eg</t>
  </si>
  <si>
    <t>Mohab Islam Mohamed</t>
  </si>
  <si>
    <t>M.Islam2186@nu.edu.eg</t>
  </si>
  <si>
    <t>Mostafa Ayman Kassem</t>
  </si>
  <si>
    <t>Mo.Kassem@nu.edu.eg</t>
  </si>
  <si>
    <t>Omar Abdelrahman Abdelaziz Ismaeil</t>
  </si>
  <si>
    <t>o.abdelrahman2269@nu.edu.eg</t>
  </si>
  <si>
    <t>Osama Khalid Megahed</t>
  </si>
  <si>
    <t>O.Khalid2113@nu.edu.eg</t>
  </si>
  <si>
    <t>saif gamal mostafa</t>
  </si>
  <si>
    <t>sa.gamal@nu.edu.eg</t>
  </si>
  <si>
    <t>Youssef Khaled Mahgoub</t>
  </si>
  <si>
    <t>Y.Khaled2120@nu.edu.eg</t>
  </si>
  <si>
    <t>Zeyad mohamed Abdelrahman</t>
  </si>
  <si>
    <t>Z.Abdelrahman@nu.edu.eg</t>
  </si>
  <si>
    <t>Ziad Mohamed Mahmoud</t>
  </si>
  <si>
    <t>Zi.Mahmoud@nu.edu.eg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</si>
</sst>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8">
    <font>
      <sz val="11"/>
      <color theme="1"/>
      <name val="Calibri"/>
      <family val="2"/>
      <scheme val="minor"/>
    </font>
    <font>
      <sz val="11"/>
      <color theme="1"/>
      <name val="Calibri"/>
      <family val="2"/>
      <scheme val="minor"/>
    </font>
    <font>
      <sz val="11"/>
      <color theme="1"/>
      <name val="Calibri"/>
      <family val="2"/>
      <scheme val="minor"/>
    </font>
    <font>
      <b/>
      <sz val="14"/>
      <color theme="1"/>
      <name val="Calibri"/>
      <family val="2"/>
      <scheme val="minor"/>
    </font>
    <font>
      <sz val="11"/>
      <color rgb="FF000000"/>
      <name val="Calibri"/>
      <family val="2"/>
    </font>
    <font>
      <sz val="11"/>
      <color rgb="FF000000"/>
      <name val="Calibri"/>
      <family val="2"/>
      <scheme val="minor"/>
    </font>
    <font>
      <sz val="11"/>
      <color rgb="FFFF0000"/>
      <name val="Calibri"/>
      <family val="2"/>
      <scheme val="minor"/>
    </font>
    <font>
      <u/>
      <sz val="11"/>
      <color theme="10"/>
      <name val="Calibri"/>
      <family val="2"/>
      <scheme val="minor"/>
    </font>
    <font>
      <b/>
      <sz val="11"/>
      <color rgb="FF000000"/>
      <name val="Aptos Narrow"/>
      <family val="2"/>
    </font>
    <font>
      <sz val="11"/>
      <color rgb="FF000000"/>
      <name val="Aptos Narrow"/>
      <family val="2"/>
    </font>
    <font>
      <b/>
      <sz val="11"/>
      <color rgb="FF000000"/>
      <name val="Calibri"/>
      <family val="2"/>
    </font>
    <font>
      <sz val="12"/>
      <color rgb="FF000000"/>
      <name val="Calibri"/>
      <family val="2"/>
      <scheme val="minor"/>
    </font>
    <font>
      <sz val="10"/>
      <color rgb="FF000000"/>
      <name val="Calibri"/>
      <family val="2"/>
      <scheme val="minor"/>
    </font>
    <font>
      <sz val="10"/>
      <color theme="1"/>
      <name val="Calibri"/>
      <family val="2"/>
      <scheme val="minor"/>
    </font>
    <font>
      <sz val="11.5"/>
      <color rgb="FF000000"/>
      <name val="Calibri"/>
      <family val="2"/>
      <scheme val="minor"/>
    </font>
    <font>
      <b/>
      <sz val="11"/>
      <color theme="1"/>
      <name val="Calibri"/>
      <family val="2"/>
      <scheme val="minor"/>
    </font>
    <font>
      <b/>
      <sz val="11"/>
      <color rgb="FF000000"/>
      <name val="Calibri"/>
      <family val="2"/>
      <scheme val="minor"/>
    </font>
    <font>
      <sz val="12"/>
      <color rgb="FF000000"/>
      <name val="Aptos"/>
      <charset val="1"/>
    </font>
  </fonts>
  <fills count="8">
    <fill>
      <patternFill patternType="none"/>
    </fill>
    <fill>
      <patternFill patternType="gray125"/>
    </fill>
    <fill>
      <patternFill patternType="solid">
        <fgColor theme="0" tint="-0.34998626667073579"/>
        <bgColor indexed="64"/>
      </patternFill>
    </fill>
    <fill>
      <patternFill patternType="solid">
        <fgColor theme="9"/>
        <bgColor indexed="64"/>
      </patternFill>
    </fill>
    <fill>
      <patternFill patternType="solid">
        <fgColor theme="4"/>
        <bgColor indexed="64"/>
      </patternFill>
    </fill>
    <fill>
      <patternFill patternType="solid">
        <fgColor rgb="FFFFFF00"/>
        <bgColor indexed="64"/>
      </patternFill>
    </fill>
    <fill>
      <patternFill patternType="solid">
        <fgColor theme="2"/>
        <bgColor indexed="64"/>
      </patternFill>
    </fill>
    <fill>
      <patternFill patternType="solid">
        <fgColor theme="0" tint="-4.9989318521683403E-2"/>
        <bgColor indexed="64"/>
      </patternFill>
    </fill>
  </fills>
  <borders count="2">
    <border>
      <left/>
      <right/>
      <top/>
      <bottom/>
      <diagonal/>
    </border>
    <border>
      <left/>
      <right/>
      <top style="thin">
        <color theme="4" tint="0.39997558519241921"/>
      </top>
      <bottom/>
      <diagonal/>
    </border>
  </borders>
  <cellStyleXfs count="2">
    <xf numFmtId="0" fontId="0" fillId="0" borderId="0"/>
    <xf numFmtId="0" fontId="7" fillId="0" borderId="0" applyNumberFormat="0" applyFill="0" applyBorder="0" applyAlignment="0" applyProtection="0"/>
  </cellStyleXfs>
  <cellXfs count="67">
    <xf numFmtId="0" fontId="0" fillId="0" borderId="0" xfId="0"/>
    <xf numFmtId="0" fontId="0" fillId="2" borderId="0" xfId="0" applyFill="1"/>
    <xf numFmtId="0" fontId="3" fillId="2" borderId="0" xfId="0" applyFont="1" applyFill="1" applyAlignment="1">
      <alignment horizontal="center" vertical="center"/>
    </xf>
    <xf numFmtId="0" fontId="3" fillId="0" borderId="0" xfId="0" applyFont="1" applyAlignment="1">
      <alignment horizontal="center" vertical="center"/>
    </xf>
    <xf numFmtId="0" fontId="3" fillId="2" borderId="0" xfId="0" applyFont="1" applyFill="1" applyAlignment="1">
      <alignment horizontal="center" vertical="center" wrapText="1"/>
    </xf>
    <xf numFmtId="0" fontId="0" fillId="0" borderId="0" xfId="0" applyAlignment="1">
      <alignment horizontal="center"/>
    </xf>
    <xf numFmtId="0" fontId="0" fillId="2" borderId="0" xfId="0" applyFill="1" applyAlignment="1">
      <alignment horizontal="center"/>
    </xf>
    <xf numFmtId="0" fontId="4" fillId="0" borderId="0" xfId="0" applyFont="1" applyAlignment="1">
      <alignment vertical="center" wrapText="1"/>
    </xf>
    <xf numFmtId="0" fontId="0" fillId="0" borderId="0" xfId="0" quotePrefix="1" applyAlignment="1">
      <alignment horizontal="left"/>
    </xf>
    <xf numFmtId="164" fontId="0" fillId="0" borderId="0" xfId="0" applyNumberFormat="1"/>
    <xf numFmtId="0" fontId="0" fillId="0" borderId="0" xfId="0" applyAlignment="1">
      <alignment wrapText="1"/>
    </xf>
    <xf numFmtId="0" fontId="4" fillId="0" borderId="0" xfId="0" applyFont="1" applyAlignment="1">
      <alignment horizontal="left" vertical="center" wrapText="1"/>
    </xf>
    <xf numFmtId="0" fontId="0" fillId="2" borderId="0" xfId="0" applyFill="1" applyAlignment="1">
      <alignment horizontal="left"/>
    </xf>
    <xf numFmtId="0" fontId="0" fillId="6" borderId="0" xfId="0" applyFill="1"/>
    <xf numFmtId="0" fontId="8" fillId="0" borderId="0" xfId="0" applyFont="1"/>
    <xf numFmtId="0" fontId="9" fillId="0" borderId="0" xfId="0" applyFont="1"/>
    <xf numFmtId="0" fontId="9" fillId="0" borderId="0" xfId="0" applyFont="1" applyAlignment="1">
      <alignment wrapText="1"/>
    </xf>
    <xf numFmtId="0" fontId="9" fillId="5" borderId="0" xfId="0" applyFont="1" applyFill="1"/>
    <xf numFmtId="0" fontId="7" fillId="5" borderId="0" xfId="1" applyFill="1" applyBorder="1" applyAlignment="1"/>
    <xf numFmtId="0" fontId="9" fillId="5" borderId="0" xfId="0" applyFont="1" applyFill="1" applyAlignment="1">
      <alignment wrapText="1"/>
    </xf>
    <xf numFmtId="0" fontId="0" fillId="0" borderId="0" xfId="0" applyAlignment="1">
      <alignment horizontal="left"/>
    </xf>
    <xf numFmtId="0" fontId="4" fillId="0" borderId="0" xfId="0" applyFont="1" applyAlignment="1">
      <alignment horizontal="left"/>
    </xf>
    <xf numFmtId="0" fontId="5" fillId="0" borderId="0" xfId="0" quotePrefix="1" applyFont="1" applyAlignment="1">
      <alignment horizontal="left"/>
    </xf>
    <xf numFmtId="0" fontId="5" fillId="0" borderId="0" xfId="0" applyFont="1"/>
    <xf numFmtId="0" fontId="5" fillId="0" borderId="0" xfId="0" applyFont="1" applyAlignment="1">
      <alignment horizontal="left"/>
    </xf>
    <xf numFmtId="0" fontId="5" fillId="0" borderId="0" xfId="0" applyFont="1" applyAlignment="1">
      <alignment horizontal="center"/>
    </xf>
    <xf numFmtId="0" fontId="0" fillId="0" borderId="0" xfId="0" applyAlignment="1">
      <alignment horizontal="center" vertical="center" wrapText="1"/>
    </xf>
    <xf numFmtId="0" fontId="4" fillId="0" borderId="0" xfId="0" applyFont="1" applyAlignment="1">
      <alignment wrapText="1"/>
    </xf>
    <xf numFmtId="0" fontId="2" fillId="0" borderId="0" xfId="0" applyFont="1"/>
    <xf numFmtId="0" fontId="1" fillId="2" borderId="0" xfId="0" applyFont="1" applyFill="1" applyAlignment="1">
      <alignment horizontal="left"/>
    </xf>
    <xf numFmtId="0" fontId="1" fillId="2" borderId="0" xfId="0" applyFont="1" applyFill="1"/>
    <xf numFmtId="0" fontId="15" fillId="0" borderId="0" xfId="0" quotePrefix="1" applyFont="1" applyAlignment="1">
      <alignment horizontal="left"/>
    </xf>
    <xf numFmtId="0" fontId="15" fillId="0" borderId="0" xfId="0" applyFont="1" applyAlignment="1">
      <alignment horizontal="left"/>
    </xf>
    <xf numFmtId="0" fontId="16" fillId="0" borderId="0" xfId="0" applyFont="1" applyAlignment="1">
      <alignment horizontal="center"/>
    </xf>
    <xf numFmtId="0" fontId="15" fillId="0" borderId="0" xfId="0" applyFont="1"/>
    <xf numFmtId="0" fontId="15" fillId="0" borderId="0" xfId="0" applyFont="1" applyAlignment="1">
      <alignment horizontal="center"/>
    </xf>
    <xf numFmtId="0" fontId="10" fillId="0" borderId="0" xfId="0" applyFont="1" applyAlignment="1">
      <alignment vertical="center" wrapText="1"/>
    </xf>
    <xf numFmtId="0" fontId="15" fillId="2" borderId="0" xfId="0" applyFont="1" applyFill="1"/>
    <xf numFmtId="0" fontId="15" fillId="2" borderId="0" xfId="0" applyFont="1" applyFill="1" applyAlignment="1">
      <alignment horizontal="center"/>
    </xf>
    <xf numFmtId="0" fontId="16" fillId="0" borderId="0" xfId="0" applyFont="1"/>
    <xf numFmtId="0" fontId="15" fillId="2" borderId="0" xfId="0" applyFont="1" applyFill="1" applyAlignment="1">
      <alignment horizontal="left"/>
    </xf>
    <xf numFmtId="0" fontId="6" fillId="0" borderId="0" xfId="0" applyFont="1"/>
    <xf numFmtId="0" fontId="7" fillId="0" borderId="0" xfId="1" applyAlignment="1">
      <alignment horizontal="left"/>
    </xf>
    <xf numFmtId="0" fontId="0" fillId="0" borderId="0" xfId="0" applyAlignment="1">
      <alignment vertical="center" wrapText="1"/>
    </xf>
    <xf numFmtId="0" fontId="7" fillId="0" borderId="0" xfId="1" applyAlignment="1">
      <alignment vertical="center" wrapText="1"/>
    </xf>
    <xf numFmtId="0" fontId="1" fillId="0" borderId="0" xfId="0" applyFont="1"/>
    <xf numFmtId="0" fontId="7" fillId="0" borderId="0" xfId="1"/>
    <xf numFmtId="0" fontId="0" fillId="0" borderId="0" xfId="0" applyAlignment="1">
      <alignment horizontal="left" vertical="center" wrapText="1"/>
    </xf>
    <xf numFmtId="0" fontId="3" fillId="2" borderId="0" xfId="0" applyFont="1" applyFill="1" applyAlignment="1">
      <alignment horizontal="left" vertical="center"/>
    </xf>
    <xf numFmtId="0" fontId="0" fillId="5" borderId="0" xfId="0" quotePrefix="1" applyFill="1" applyAlignment="1">
      <alignment horizontal="left"/>
    </xf>
    <xf numFmtId="0" fontId="10" fillId="0" borderId="0" xfId="0" applyFont="1" applyAlignment="1">
      <alignment horizontal="left" vertical="center" wrapText="1"/>
    </xf>
    <xf numFmtId="1" fontId="9" fillId="0" borderId="0" xfId="0" applyNumberFormat="1" applyFont="1" applyAlignment="1">
      <alignment horizontal="left" wrapText="1"/>
    </xf>
    <xf numFmtId="0" fontId="0" fillId="7" borderId="0" xfId="0" applyFill="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0" fillId="4" borderId="0" xfId="0" applyFill="1" applyAlignment="1">
      <alignment horizontal="center" vertical="center" wrapText="1"/>
    </xf>
    <xf numFmtId="0" fontId="17" fillId="0" borderId="0" xfId="0" applyFont="1" applyAlignment="1">
      <alignment horizontal="left" vertical="center" wrapText="1"/>
    </xf>
    <xf numFmtId="0" fontId="14" fillId="0" borderId="0" xfId="0" applyFont="1" applyAlignment="1">
      <alignment horizontal="left" vertical="center" wrapText="1"/>
    </xf>
    <xf numFmtId="0" fontId="5" fillId="0" borderId="1" xfId="0" applyFont="1" applyBorder="1" applyAlignment="1">
      <alignment horizontal="left" vertical="center" wrapText="1"/>
    </xf>
    <xf numFmtId="0" fontId="0" fillId="0" borderId="1" xfId="0" applyBorder="1" applyAlignment="1">
      <alignment horizontal="left" vertical="center" wrapText="1"/>
    </xf>
    <xf numFmtId="0" fontId="0" fillId="3" borderId="0" xfId="0" applyFill="1" applyAlignment="1">
      <alignment horizontal="center" vertical="center" wrapText="1"/>
    </xf>
    <xf numFmtId="0" fontId="11" fillId="0" borderId="0" xfId="0" applyFont="1" applyAlignment="1">
      <alignment horizontal="left" vertical="center" wrapText="1"/>
    </xf>
    <xf numFmtId="0" fontId="1" fillId="0" borderId="1" xfId="0" applyFont="1" applyBorder="1" applyAlignment="1">
      <alignment horizontal="left" vertical="center" wrapText="1"/>
    </xf>
    <xf numFmtId="0" fontId="12" fillId="0" borderId="0" xfId="0" applyFont="1" applyAlignment="1">
      <alignment horizontal="left" vertical="center" wrapText="1"/>
    </xf>
    <xf numFmtId="0" fontId="13" fillId="0" borderId="0" xfId="0" applyFont="1" applyAlignment="1">
      <alignment horizontal="left" vertical="center" wrapText="1"/>
    </xf>
  </cellXfs>
  <cellStyles count="2">
    <cellStyle name="Hyperlink" xfId="1" builtinId="8"/>
    <cellStyle name="Normal" xfId="0" builtinId="0"/>
  </cellStyles>
  <dxfs count="34">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A.omar2124@nu.edu.eg" TargetMode="External"/><Relationship Id="rId18" Type="http://schemas.openxmlformats.org/officeDocument/2006/relationships/hyperlink" Target="mailto:Ammaralhassan05@gmail.com" TargetMode="External"/><Relationship Id="rId26" Type="http://schemas.openxmlformats.org/officeDocument/2006/relationships/hyperlink" Target="mailto:D.ashraf2291@nu.edu.eg" TargetMode="External"/><Relationship Id="rId39" Type="http://schemas.openxmlformats.org/officeDocument/2006/relationships/hyperlink" Target="mailto:H.Mohamed2344@nu.edu.eg" TargetMode="External"/><Relationship Id="rId21" Type="http://schemas.openxmlformats.org/officeDocument/2006/relationships/hyperlink" Target="mailto:M.mohamed2331@nu.edu.eg" TargetMode="External"/><Relationship Id="rId34" Type="http://schemas.openxmlformats.org/officeDocument/2006/relationships/hyperlink" Target="mailto:A.tarek2338@nu.edu.eg" TargetMode="External"/><Relationship Id="rId42" Type="http://schemas.openxmlformats.org/officeDocument/2006/relationships/hyperlink" Target="mailto:h.gamal2307@nu.edu.eg" TargetMode="External"/><Relationship Id="rId47" Type="http://schemas.openxmlformats.org/officeDocument/2006/relationships/hyperlink" Target="mailto:A.Wael2330@nu.edu.eg" TargetMode="External"/><Relationship Id="rId50" Type="http://schemas.openxmlformats.org/officeDocument/2006/relationships/hyperlink" Target="mailto:M.osama2325@nu.edu.eg" TargetMode="External"/><Relationship Id="rId7" Type="http://schemas.openxmlformats.org/officeDocument/2006/relationships/hyperlink" Target="mailto:l.ahmed2221@nu.edu.eg" TargetMode="External"/><Relationship Id="rId2" Type="http://schemas.openxmlformats.org/officeDocument/2006/relationships/hyperlink" Target="mailto:mar.ali@nu.edu.eg" TargetMode="External"/><Relationship Id="rId16" Type="http://schemas.openxmlformats.org/officeDocument/2006/relationships/hyperlink" Target="mailto:k.emad2320@nu.edu.eg" TargetMode="External"/><Relationship Id="rId29" Type="http://schemas.openxmlformats.org/officeDocument/2006/relationships/hyperlink" Target="mailto:n.ibrahim2341@nu.edu.eg" TargetMode="External"/><Relationship Id="rId11" Type="http://schemas.openxmlformats.org/officeDocument/2006/relationships/hyperlink" Target="mailto:y.helmy2334@nu.edu.eg" TargetMode="External"/><Relationship Id="rId24" Type="http://schemas.openxmlformats.org/officeDocument/2006/relationships/hyperlink" Target="mailto:ah.dawood@nu.edu.eg" TargetMode="External"/><Relationship Id="rId32" Type="http://schemas.openxmlformats.org/officeDocument/2006/relationships/hyperlink" Target="mailto:M.Yassin2341@nu.edu.eg" TargetMode="External"/><Relationship Id="rId37" Type="http://schemas.openxmlformats.org/officeDocument/2006/relationships/hyperlink" Target="mailto:A.Helmy2137@nu.edu.eg" TargetMode="External"/><Relationship Id="rId40" Type="http://schemas.openxmlformats.org/officeDocument/2006/relationships/hyperlink" Target="mailto:Y.Ahmed2388@nu.edu.eg" TargetMode="External"/><Relationship Id="rId45" Type="http://schemas.openxmlformats.org/officeDocument/2006/relationships/hyperlink" Target="mailto:L.eissah2331@nu.edu.eg" TargetMode="External"/><Relationship Id="rId5" Type="http://schemas.openxmlformats.org/officeDocument/2006/relationships/hyperlink" Target="mailto:A.Ahmed2102@nu.edu.eg" TargetMode="External"/><Relationship Id="rId15" Type="http://schemas.openxmlformats.org/officeDocument/2006/relationships/hyperlink" Target="mailto:A.Mohsen2312@nu.edu.eg" TargetMode="External"/><Relationship Id="rId23" Type="http://schemas.openxmlformats.org/officeDocument/2006/relationships/hyperlink" Target="mailto:a.yasser2230@nu.edu.eg" TargetMode="External"/><Relationship Id="rId28" Type="http://schemas.openxmlformats.org/officeDocument/2006/relationships/hyperlink" Target="mailto:A.Mohamed2330@nu.edu.eg" TargetMode="External"/><Relationship Id="rId36" Type="http://schemas.openxmlformats.org/officeDocument/2006/relationships/hyperlink" Target="mailto:o.sherif2124@nu.edu.eg" TargetMode="External"/><Relationship Id="rId49" Type="http://schemas.openxmlformats.org/officeDocument/2006/relationships/hyperlink" Target="mailto:I.Mohamed2335@nu.edu.eg" TargetMode="External"/><Relationship Id="rId10" Type="http://schemas.openxmlformats.org/officeDocument/2006/relationships/hyperlink" Target="mailto:a.usama2269@nu.edu.eg" TargetMode="External"/><Relationship Id="rId19" Type="http://schemas.openxmlformats.org/officeDocument/2006/relationships/hyperlink" Target="mailto:M.2396@nu.edu.eg" TargetMode="External"/><Relationship Id="rId31" Type="http://schemas.openxmlformats.org/officeDocument/2006/relationships/hyperlink" Target="mailto:M.Montasser2343@nu.edu.eg" TargetMode="External"/><Relationship Id="rId44" Type="http://schemas.openxmlformats.org/officeDocument/2006/relationships/hyperlink" Target="mailto:h.ahmed2374@nu.edu.eg" TargetMode="External"/><Relationship Id="rId52" Type="http://schemas.openxmlformats.org/officeDocument/2006/relationships/printerSettings" Target="../printerSettings/printerSettings1.bin"/><Relationship Id="rId4" Type="http://schemas.openxmlformats.org/officeDocument/2006/relationships/hyperlink" Target="mailto:r.Alaaeldin2330@nu.edu.egg" TargetMode="External"/><Relationship Id="rId9" Type="http://schemas.openxmlformats.org/officeDocument/2006/relationships/hyperlink" Target="mailto:m.semary@nu.edu.eg" TargetMode="External"/><Relationship Id="rId14" Type="http://schemas.openxmlformats.org/officeDocument/2006/relationships/hyperlink" Target="mailto:A.Ayman2212@nu.edu.eg" TargetMode="External"/><Relationship Id="rId22" Type="http://schemas.openxmlformats.org/officeDocument/2006/relationships/hyperlink" Target="mailto:H.Ramadan2311@nu.edu.eg" TargetMode="External"/><Relationship Id="rId27" Type="http://schemas.openxmlformats.org/officeDocument/2006/relationships/hyperlink" Target="mailto:a.abdeltwab2340@nu.edu.eg" TargetMode="External"/><Relationship Id="rId30" Type="http://schemas.openxmlformats.org/officeDocument/2006/relationships/hyperlink" Target="mailto:Y.ahmed2364@nu.edu.eg" TargetMode="External"/><Relationship Id="rId35" Type="http://schemas.openxmlformats.org/officeDocument/2006/relationships/hyperlink" Target="mailto:M.Radwan2363@nu.edu.eg" TargetMode="External"/><Relationship Id="rId43" Type="http://schemas.openxmlformats.org/officeDocument/2006/relationships/hyperlink" Target="mailto:m.ziyad2317@nu.edu.eg" TargetMode="External"/><Relationship Id="rId48" Type="http://schemas.openxmlformats.org/officeDocument/2006/relationships/hyperlink" Target="mailto:A.osman2383@nu.edu.eg" TargetMode="External"/><Relationship Id="rId8" Type="http://schemas.openxmlformats.org/officeDocument/2006/relationships/hyperlink" Target="mailto:T.salem2373@nu.edu.eg" TargetMode="External"/><Relationship Id="rId51" Type="http://schemas.openxmlformats.org/officeDocument/2006/relationships/hyperlink" Target="mailto:A.Mohamed2330@nu.edu.eg" TargetMode="External"/><Relationship Id="rId3" Type="http://schemas.openxmlformats.org/officeDocument/2006/relationships/hyperlink" Target="mailto:b.khaled2381@nu.edu.eg" TargetMode="External"/><Relationship Id="rId12" Type="http://schemas.openxmlformats.org/officeDocument/2006/relationships/hyperlink" Target="mailto:O.Mohamed2366@nu.edu.eg" TargetMode="External"/><Relationship Id="rId17" Type="http://schemas.openxmlformats.org/officeDocument/2006/relationships/hyperlink" Target="mailto:Y.khaled2303@nu.edu.eg" TargetMode="External"/><Relationship Id="rId25" Type="http://schemas.openxmlformats.org/officeDocument/2006/relationships/hyperlink" Target="mailto:t.waleed2361@nu.edu.eg" TargetMode="External"/><Relationship Id="rId33" Type="http://schemas.openxmlformats.org/officeDocument/2006/relationships/hyperlink" Target="mailto:M.Maher2381@nu.edu.eg" TargetMode="External"/><Relationship Id="rId38" Type="http://schemas.openxmlformats.org/officeDocument/2006/relationships/hyperlink" Target="mailto:O.ahmed2326@nu.edu.eg" TargetMode="External"/><Relationship Id="rId46" Type="http://schemas.openxmlformats.org/officeDocument/2006/relationships/hyperlink" Target="mailto:Y.Mahmoud2352@nu.edu.eg" TargetMode="External"/><Relationship Id="rId20" Type="http://schemas.openxmlformats.org/officeDocument/2006/relationships/hyperlink" Target="mailto:o.abdallah2325@nu.edu.eg" TargetMode="External"/><Relationship Id="rId41" Type="http://schemas.openxmlformats.org/officeDocument/2006/relationships/hyperlink" Target="mailto:S.Khaled2333@nu.edu.eg" TargetMode="External"/><Relationship Id="rId1" Type="http://schemas.openxmlformats.org/officeDocument/2006/relationships/hyperlink" Target="mailto:o.amr2289@nu.edu.eg" TargetMode="External"/><Relationship Id="rId6" Type="http://schemas.openxmlformats.org/officeDocument/2006/relationships/hyperlink" Target="mailto:a.magdy2262@nu.edu.e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O.Magdy@nu.edu.e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F.amin@nu.edu.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691"/>
  <sheetViews>
    <sheetView tabSelected="1" topLeftCell="A440" zoomScale="75" zoomScaleNormal="56" workbookViewId="0">
      <selection activeCell="A470" sqref="A470:C470"/>
    </sheetView>
  </sheetViews>
  <sheetFormatPr defaultColWidth="8.85546875" defaultRowHeight="15" customHeight="1"/>
  <cols>
    <col min="1" max="1" width="12.5703125" style="20" customWidth="1"/>
    <col min="2" max="2" width="42.28515625" bestFit="1" customWidth="1"/>
    <col min="3" max="3" width="30.42578125" bestFit="1" customWidth="1"/>
    <col min="4" max="4" width="26.42578125" style="5" customWidth="1"/>
    <col min="5" max="5" width="15.7109375" bestFit="1" customWidth="1"/>
    <col min="6" max="6" width="29.28515625" customWidth="1"/>
    <col min="7" max="7" width="29.28515625" hidden="1" customWidth="1"/>
    <col min="8" max="8" width="37.85546875" style="28" customWidth="1"/>
    <col min="9" max="9" width="39.42578125" customWidth="1"/>
    <col min="10" max="10" width="45.28515625" customWidth="1"/>
    <col min="11" max="11" width="24.28515625" customWidth="1"/>
    <col min="12" max="12" width="48.42578125" customWidth="1"/>
    <col min="13" max="13" width="31.7109375" customWidth="1"/>
    <col min="14" max="14" width="55.7109375" customWidth="1"/>
  </cols>
  <sheetData>
    <row r="1" spans="1:14" s="3" customFormat="1" ht="18">
      <c r="A1" s="48" t="s">
        <v>0</v>
      </c>
      <c r="B1" s="2" t="s">
        <v>1</v>
      </c>
      <c r="C1" s="2" t="s">
        <v>2</v>
      </c>
      <c r="D1" s="2" t="s">
        <v>3</v>
      </c>
      <c r="E1" s="2" t="s">
        <v>4</v>
      </c>
      <c r="F1" s="2" t="s">
        <v>5</v>
      </c>
      <c r="G1" s="2" t="s">
        <v>6</v>
      </c>
      <c r="H1" s="2" t="s">
        <v>7</v>
      </c>
      <c r="I1" s="2" t="s">
        <v>8</v>
      </c>
      <c r="J1" s="2" t="s">
        <v>9</v>
      </c>
      <c r="K1" s="2" t="s">
        <v>10</v>
      </c>
      <c r="L1" s="2" t="s">
        <v>11</v>
      </c>
      <c r="M1" s="4" t="s">
        <v>12</v>
      </c>
      <c r="N1" s="4" t="s">
        <v>13</v>
      </c>
    </row>
    <row r="2" spans="1:14" ht="14.45">
      <c r="A2" s="8" t="s">
        <v>14</v>
      </c>
      <c r="B2" t="s">
        <v>15</v>
      </c>
      <c r="C2" t="s">
        <v>16</v>
      </c>
      <c r="E2" s="57" t="s">
        <v>17</v>
      </c>
      <c r="F2" s="53" t="s">
        <v>18</v>
      </c>
      <c r="G2" s="26"/>
      <c r="H2" s="64" t="s">
        <v>19</v>
      </c>
      <c r="I2" s="55" t="s">
        <v>20</v>
      </c>
      <c r="J2" s="55"/>
      <c r="K2" s="56"/>
      <c r="L2" s="56"/>
      <c r="M2" s="53"/>
      <c r="N2" s="53"/>
    </row>
    <row r="3" spans="1:14" ht="14.45">
      <c r="A3" s="8" t="s">
        <v>21</v>
      </c>
      <c r="C3" t="s">
        <v>22</v>
      </c>
      <c r="E3" s="57"/>
      <c r="F3" s="53"/>
      <c r="G3" s="26"/>
      <c r="H3" s="54"/>
      <c r="I3" s="55"/>
      <c r="J3" s="55"/>
      <c r="K3" s="56"/>
      <c r="L3" s="56"/>
      <c r="M3" s="53"/>
      <c r="N3" s="53"/>
    </row>
    <row r="4" spans="1:14" ht="14.45">
      <c r="A4" s="8" t="s">
        <v>23</v>
      </c>
      <c r="B4" s="20"/>
      <c r="C4" t="s">
        <v>24</v>
      </c>
      <c r="E4" s="57"/>
      <c r="F4" s="53"/>
      <c r="G4" s="26"/>
      <c r="H4" s="54"/>
      <c r="I4" s="55"/>
      <c r="J4" s="55"/>
      <c r="K4" s="56"/>
      <c r="L4" s="56"/>
      <c r="M4" s="53"/>
      <c r="N4" s="53"/>
    </row>
    <row r="5" spans="1:14" ht="14.45">
      <c r="A5" s="8" t="s">
        <v>25</v>
      </c>
      <c r="B5" s="20"/>
      <c r="C5" t="s">
        <v>26</v>
      </c>
      <c r="E5" s="57"/>
      <c r="F5" s="53"/>
      <c r="G5" s="26"/>
      <c r="H5" s="54"/>
      <c r="I5" s="55"/>
      <c r="J5" s="55"/>
      <c r="K5" s="56"/>
      <c r="L5" s="56"/>
      <c r="M5" s="53"/>
      <c r="N5" s="53"/>
    </row>
    <row r="6" spans="1:14" ht="14.45">
      <c r="A6" s="8"/>
      <c r="E6" s="57"/>
      <c r="F6" s="53"/>
      <c r="G6" s="26"/>
      <c r="H6" s="54"/>
      <c r="I6" s="55"/>
      <c r="J6" s="55"/>
      <c r="K6" s="56"/>
      <c r="L6" s="56"/>
      <c r="M6" s="53"/>
      <c r="N6" s="53"/>
    </row>
    <row r="7" spans="1:14" ht="14.45">
      <c r="A7" s="8"/>
      <c r="E7" s="57"/>
      <c r="F7" s="53"/>
      <c r="G7" s="26"/>
      <c r="H7" s="54"/>
      <c r="I7" s="55"/>
      <c r="J7" s="55"/>
      <c r="K7" s="56"/>
      <c r="L7" s="56"/>
      <c r="M7" s="53"/>
      <c r="N7" s="53"/>
    </row>
    <row r="8" spans="1:14">
      <c r="A8" s="11"/>
      <c r="B8" s="7"/>
      <c r="C8" s="7"/>
      <c r="E8" s="57"/>
      <c r="F8" s="53"/>
      <c r="G8" s="26"/>
      <c r="H8" s="54"/>
      <c r="I8" s="55"/>
      <c r="J8" s="55"/>
      <c r="K8" s="56"/>
      <c r="L8" s="56"/>
      <c r="M8" s="53"/>
      <c r="N8" s="53"/>
    </row>
    <row r="9" spans="1:14" ht="14.45">
      <c r="A9" s="12"/>
      <c r="B9" s="1"/>
      <c r="C9" s="6"/>
      <c r="D9" s="6"/>
      <c r="E9" s="1"/>
      <c r="F9" s="1"/>
      <c r="G9" s="1"/>
      <c r="H9" s="29"/>
      <c r="I9" s="12"/>
      <c r="J9" s="12"/>
      <c r="K9" s="1"/>
      <c r="L9" s="1"/>
      <c r="M9" s="1"/>
      <c r="N9" s="1"/>
    </row>
    <row r="10" spans="1:14" ht="14.45">
      <c r="A10" s="8" t="s">
        <v>27</v>
      </c>
      <c r="B10" t="s">
        <v>28</v>
      </c>
      <c r="C10" t="s">
        <v>29</v>
      </c>
      <c r="E10" s="57" t="s">
        <v>30</v>
      </c>
      <c r="F10" s="53" t="s">
        <v>31</v>
      </c>
      <c r="G10" s="26"/>
      <c r="H10" s="54" t="s">
        <v>32</v>
      </c>
      <c r="I10" s="55" t="s">
        <v>33</v>
      </c>
      <c r="J10" s="55"/>
      <c r="K10" s="56"/>
      <c r="L10" s="56"/>
      <c r="M10" s="53"/>
      <c r="N10" s="53"/>
    </row>
    <row r="11" spans="1:14" ht="14.45">
      <c r="A11" s="8" t="s">
        <v>34</v>
      </c>
      <c r="B11" s="20"/>
      <c r="C11" t="s">
        <v>35</v>
      </c>
      <c r="E11" s="57"/>
      <c r="F11" s="53"/>
      <c r="G11" s="26"/>
      <c r="H11" s="54"/>
      <c r="I11" s="55"/>
      <c r="J11" s="55"/>
      <c r="K11" s="56"/>
      <c r="L11" s="56"/>
      <c r="M11" s="53"/>
      <c r="N11" s="53"/>
    </row>
    <row r="12" spans="1:14" ht="14.45">
      <c r="A12" s="8" t="s">
        <v>36</v>
      </c>
      <c r="B12" s="20"/>
      <c r="C12" t="s">
        <v>37</v>
      </c>
      <c r="E12" s="57"/>
      <c r="F12" s="53"/>
      <c r="G12" s="26"/>
      <c r="H12" s="54"/>
      <c r="I12" s="55"/>
      <c r="J12" s="55"/>
      <c r="K12" s="56"/>
      <c r="L12" s="56"/>
      <c r="M12" s="53"/>
      <c r="N12" s="53"/>
    </row>
    <row r="13" spans="1:14" ht="14.45">
      <c r="A13" s="8" t="s">
        <v>38</v>
      </c>
      <c r="B13" s="20"/>
      <c r="C13" t="s">
        <v>39</v>
      </c>
      <c r="E13" s="57"/>
      <c r="F13" s="53"/>
      <c r="G13" s="26"/>
      <c r="H13" s="54"/>
      <c r="I13" s="55"/>
      <c r="J13" s="55"/>
      <c r="K13" s="56"/>
      <c r="L13" s="56"/>
      <c r="M13" s="53"/>
      <c r="N13" s="53"/>
    </row>
    <row r="14" spans="1:14" ht="14.45">
      <c r="A14" s="8" t="s">
        <v>40</v>
      </c>
      <c r="B14" s="20"/>
      <c r="C14" t="s">
        <v>41</v>
      </c>
      <c r="E14" s="57"/>
      <c r="F14" s="53"/>
      <c r="G14" s="26"/>
      <c r="H14" s="54"/>
      <c r="I14" s="55"/>
      <c r="J14" s="55"/>
      <c r="K14" s="56"/>
      <c r="L14" s="56"/>
      <c r="M14" s="53"/>
      <c r="N14" s="53"/>
    </row>
    <row r="15" spans="1:14" ht="14.45">
      <c r="E15" s="57"/>
      <c r="F15" s="53"/>
      <c r="G15" s="26"/>
      <c r="H15" s="54"/>
      <c r="I15" s="55"/>
      <c r="J15" s="55"/>
      <c r="K15" s="56"/>
      <c r="L15" s="56"/>
      <c r="M15" s="53"/>
      <c r="N15" s="53"/>
    </row>
    <row r="16" spans="1:14">
      <c r="A16" s="11"/>
      <c r="B16" s="7"/>
      <c r="C16" s="7"/>
      <c r="E16" s="57"/>
      <c r="F16" s="53"/>
      <c r="G16" s="26"/>
      <c r="H16" s="54"/>
      <c r="I16" s="55"/>
      <c r="J16" s="55"/>
      <c r="K16" s="56"/>
      <c r="L16" s="56"/>
      <c r="M16" s="53"/>
      <c r="N16" s="53"/>
    </row>
    <row r="17" spans="1:14" ht="14.45">
      <c r="A17" s="12"/>
      <c r="B17" s="1"/>
      <c r="C17" s="6"/>
      <c r="D17" s="6"/>
      <c r="E17" s="1"/>
      <c r="F17" s="1"/>
      <c r="G17" s="1"/>
      <c r="H17" s="29"/>
      <c r="I17" s="12"/>
      <c r="J17" s="12"/>
      <c r="K17" s="1"/>
      <c r="L17" s="1"/>
      <c r="M17" s="1"/>
      <c r="N17" s="1"/>
    </row>
    <row r="18" spans="1:14">
      <c r="A18" s="8" t="s">
        <v>42</v>
      </c>
      <c r="B18" t="s">
        <v>43</v>
      </c>
      <c r="C18" t="s">
        <v>44</v>
      </c>
      <c r="E18" s="57" t="s">
        <v>45</v>
      </c>
      <c r="F18" s="53" t="s">
        <v>46</v>
      </c>
      <c r="G18" s="26"/>
      <c r="H18" s="63" t="s">
        <v>47</v>
      </c>
      <c r="I18" s="55" t="s">
        <v>48</v>
      </c>
      <c r="J18" s="55"/>
      <c r="K18" s="56"/>
      <c r="L18" s="56"/>
      <c r="M18" s="53"/>
      <c r="N18" s="53"/>
    </row>
    <row r="19" spans="1:14" ht="14.45">
      <c r="A19" s="8" t="s">
        <v>49</v>
      </c>
      <c r="B19" s="20"/>
      <c r="C19" t="s">
        <v>50</v>
      </c>
      <c r="E19" s="57"/>
      <c r="F19" s="53"/>
      <c r="G19" s="26"/>
      <c r="H19" s="54"/>
      <c r="I19" s="55"/>
      <c r="J19" s="55"/>
      <c r="K19" s="56"/>
      <c r="L19" s="56"/>
      <c r="M19" s="53"/>
      <c r="N19" s="53"/>
    </row>
    <row r="20" spans="1:14" ht="14.45">
      <c r="A20" s="8" t="s">
        <v>51</v>
      </c>
      <c r="B20" s="20"/>
      <c r="C20" t="s">
        <v>52</v>
      </c>
      <c r="E20" s="57"/>
      <c r="F20" s="53"/>
      <c r="G20" s="26"/>
      <c r="H20" s="54"/>
      <c r="I20" s="55"/>
      <c r="J20" s="55"/>
      <c r="K20" s="56"/>
      <c r="L20" s="56"/>
      <c r="M20" s="53"/>
      <c r="N20" s="53"/>
    </row>
    <row r="21" spans="1:14" ht="14.45">
      <c r="A21" s="8" t="s">
        <v>53</v>
      </c>
      <c r="B21" s="20"/>
      <c r="C21" t="s">
        <v>54</v>
      </c>
      <c r="E21" s="57"/>
      <c r="F21" s="53"/>
      <c r="G21" s="26"/>
      <c r="H21" s="54"/>
      <c r="I21" s="55"/>
      <c r="J21" s="55"/>
      <c r="K21" s="56"/>
      <c r="L21" s="56"/>
      <c r="M21" s="53"/>
      <c r="N21" s="53"/>
    </row>
    <row r="22" spans="1:14" ht="14.45">
      <c r="A22" s="8" t="s">
        <v>55</v>
      </c>
      <c r="B22" s="20"/>
      <c r="C22" t="s">
        <v>56</v>
      </c>
      <c r="E22" s="57"/>
      <c r="F22" s="53"/>
      <c r="G22" s="26"/>
      <c r="H22" s="54"/>
      <c r="I22" s="55"/>
      <c r="J22" s="55"/>
      <c r="K22" s="56"/>
      <c r="L22" s="56"/>
      <c r="M22" s="53"/>
      <c r="N22" s="53"/>
    </row>
    <row r="23" spans="1:14" ht="14.45">
      <c r="A23" s="8"/>
      <c r="B23" s="20"/>
      <c r="C23" s="20"/>
      <c r="E23" s="57"/>
      <c r="F23" s="53"/>
      <c r="G23" s="26"/>
      <c r="H23" s="54"/>
      <c r="I23" s="55"/>
      <c r="J23" s="55"/>
      <c r="K23" s="56"/>
      <c r="L23" s="56"/>
      <c r="M23" s="53"/>
      <c r="N23" s="53"/>
    </row>
    <row r="24" spans="1:14">
      <c r="A24" s="11"/>
      <c r="B24" s="7"/>
      <c r="C24" s="7"/>
      <c r="E24" s="57"/>
      <c r="F24" s="53"/>
      <c r="G24" s="26"/>
      <c r="H24" s="54"/>
      <c r="I24" s="55"/>
      <c r="J24" s="55"/>
      <c r="K24" s="56"/>
      <c r="L24" s="56"/>
      <c r="M24" s="53"/>
      <c r="N24" s="53"/>
    </row>
    <row r="25" spans="1:14" ht="14.45">
      <c r="A25" s="12"/>
      <c r="B25" s="1"/>
      <c r="C25" s="6"/>
      <c r="D25" s="6"/>
      <c r="E25" s="1"/>
      <c r="F25" s="1"/>
      <c r="G25" s="1"/>
      <c r="H25" s="29"/>
      <c r="I25" s="12"/>
      <c r="J25" s="12"/>
      <c r="K25" s="1"/>
      <c r="L25" s="1"/>
      <c r="M25" s="1"/>
      <c r="N25" s="1"/>
    </row>
    <row r="26" spans="1:14" ht="14.45">
      <c r="A26" s="8" t="s">
        <v>57</v>
      </c>
      <c r="B26" t="s">
        <v>58</v>
      </c>
      <c r="C26" t="s">
        <v>59</v>
      </c>
      <c r="E26" s="57" t="s">
        <v>60</v>
      </c>
      <c r="F26" s="53" t="s">
        <v>61</v>
      </c>
      <c r="G26" s="26"/>
      <c r="H26" s="54" t="s">
        <v>62</v>
      </c>
      <c r="I26" s="55" t="s">
        <v>63</v>
      </c>
      <c r="J26" s="55"/>
      <c r="K26" s="56"/>
      <c r="L26" s="56"/>
      <c r="M26" s="53"/>
      <c r="N26" s="53"/>
    </row>
    <row r="27" spans="1:14" ht="14.45">
      <c r="A27" s="8" t="s">
        <v>64</v>
      </c>
      <c r="B27" s="20"/>
      <c r="C27" t="s">
        <v>65</v>
      </c>
      <c r="E27" s="57"/>
      <c r="F27" s="53"/>
      <c r="G27" s="26"/>
      <c r="H27" s="54"/>
      <c r="I27" s="55"/>
      <c r="J27" s="55"/>
      <c r="K27" s="56"/>
      <c r="L27" s="56"/>
      <c r="M27" s="53"/>
      <c r="N27" s="53"/>
    </row>
    <row r="28" spans="1:14" ht="14.45">
      <c r="A28" s="8" t="s">
        <v>66</v>
      </c>
      <c r="B28" s="20"/>
      <c r="C28" t="s">
        <v>67</v>
      </c>
      <c r="E28" s="57"/>
      <c r="F28" s="53"/>
      <c r="G28" s="26"/>
      <c r="H28" s="54"/>
      <c r="I28" s="55"/>
      <c r="J28" s="55"/>
      <c r="K28" s="56"/>
      <c r="L28" s="56"/>
      <c r="M28" s="53"/>
      <c r="N28" s="53"/>
    </row>
    <row r="29" spans="1:14" ht="14.45">
      <c r="A29" s="8" t="s">
        <v>68</v>
      </c>
      <c r="B29" s="20"/>
      <c r="C29" t="s">
        <v>69</v>
      </c>
      <c r="E29" s="57"/>
      <c r="F29" s="53"/>
      <c r="G29" s="26"/>
      <c r="H29" s="54"/>
      <c r="I29" s="55"/>
      <c r="J29" s="55"/>
      <c r="K29" s="56"/>
      <c r="L29" s="56"/>
      <c r="M29" s="53"/>
      <c r="N29" s="53"/>
    </row>
    <row r="30" spans="1:14" ht="14.45">
      <c r="A30" s="8"/>
      <c r="B30" s="20"/>
      <c r="C30" s="20"/>
      <c r="E30" s="57"/>
      <c r="F30" s="53"/>
      <c r="G30" s="26"/>
      <c r="H30" s="54"/>
      <c r="I30" s="55"/>
      <c r="J30" s="55"/>
      <c r="K30" s="56"/>
      <c r="L30" s="56"/>
      <c r="M30" s="53"/>
      <c r="N30" s="53"/>
    </row>
    <row r="31" spans="1:14" ht="14.45">
      <c r="A31" s="21"/>
      <c r="B31" s="20"/>
      <c r="C31" s="20"/>
      <c r="E31" s="57"/>
      <c r="F31" s="53"/>
      <c r="G31" s="26"/>
      <c r="H31" s="54"/>
      <c r="I31" s="55"/>
      <c r="J31" s="55"/>
      <c r="K31" s="56"/>
      <c r="L31" s="56"/>
      <c r="M31" s="53"/>
      <c r="N31" s="53"/>
    </row>
    <row r="32" spans="1:14">
      <c r="A32" s="11"/>
      <c r="B32" s="7"/>
      <c r="C32" s="7"/>
      <c r="E32" s="57"/>
      <c r="F32" s="53"/>
      <c r="G32" s="26"/>
      <c r="H32" s="54"/>
      <c r="I32" s="55"/>
      <c r="J32" s="55"/>
      <c r="K32" s="56"/>
      <c r="L32" s="56"/>
      <c r="M32" s="53"/>
      <c r="N32" s="53"/>
    </row>
    <row r="33" spans="1:14" ht="14.45">
      <c r="A33" s="12"/>
      <c r="B33" s="1"/>
      <c r="C33" s="6"/>
      <c r="D33" s="6"/>
      <c r="E33" s="1"/>
      <c r="F33" s="1"/>
      <c r="G33" s="1"/>
      <c r="H33" s="29"/>
      <c r="I33" s="12"/>
      <c r="J33" s="12"/>
      <c r="K33" s="1"/>
      <c r="L33" s="1"/>
      <c r="M33" s="1"/>
      <c r="N33" s="1"/>
    </row>
    <row r="34" spans="1:14" ht="14.45">
      <c r="A34" s="8" t="s">
        <v>70</v>
      </c>
      <c r="B34" t="s">
        <v>71</v>
      </c>
      <c r="C34" t="s">
        <v>72</v>
      </c>
      <c r="E34" s="57" t="s">
        <v>73</v>
      </c>
      <c r="F34" s="53" t="s">
        <v>74</v>
      </c>
      <c r="G34" s="26"/>
      <c r="H34" s="54" t="s">
        <v>75</v>
      </c>
      <c r="I34" s="55" t="s">
        <v>76</v>
      </c>
      <c r="J34" s="55"/>
      <c r="K34" s="56"/>
      <c r="L34" s="56"/>
      <c r="M34" s="53"/>
      <c r="N34" s="53"/>
    </row>
    <row r="35" spans="1:14" ht="14.45">
      <c r="A35" s="8" t="s">
        <v>77</v>
      </c>
      <c r="B35" s="20"/>
      <c r="C35" t="s">
        <v>78</v>
      </c>
      <c r="E35" s="57"/>
      <c r="F35" s="53"/>
      <c r="G35" s="26"/>
      <c r="H35" s="54"/>
      <c r="I35" s="55"/>
      <c r="J35" s="55"/>
      <c r="K35" s="56"/>
      <c r="L35" s="56"/>
      <c r="M35" s="53"/>
      <c r="N35" s="53"/>
    </row>
    <row r="36" spans="1:14" ht="14.45">
      <c r="A36" s="8" t="s">
        <v>79</v>
      </c>
      <c r="B36" s="20"/>
      <c r="C36" t="s">
        <v>80</v>
      </c>
      <c r="E36" s="57"/>
      <c r="F36" s="53"/>
      <c r="G36" s="26"/>
      <c r="H36" s="54"/>
      <c r="I36" s="55"/>
      <c r="J36" s="55"/>
      <c r="K36" s="56"/>
      <c r="L36" s="56"/>
      <c r="M36" s="53"/>
      <c r="N36" s="53"/>
    </row>
    <row r="37" spans="1:14" ht="16.899999999999999" customHeight="1">
      <c r="A37" s="8" t="s">
        <v>81</v>
      </c>
      <c r="B37" s="20"/>
      <c r="C37" t="s">
        <v>82</v>
      </c>
      <c r="E37" s="57"/>
      <c r="F37" s="53"/>
      <c r="G37" s="26" t="s">
        <v>83</v>
      </c>
      <c r="H37" s="54"/>
      <c r="I37" s="55"/>
      <c r="J37" s="55"/>
      <c r="K37" s="56"/>
      <c r="L37" s="56"/>
      <c r="M37" s="53"/>
      <c r="N37" s="53"/>
    </row>
    <row r="38" spans="1:14" ht="14.45">
      <c r="A38" s="8" t="s">
        <v>84</v>
      </c>
      <c r="B38" s="20"/>
      <c r="C38" t="s">
        <v>85</v>
      </c>
      <c r="E38" s="57"/>
      <c r="F38" s="53"/>
      <c r="G38" s="26"/>
      <c r="H38" s="54"/>
      <c r="I38" s="55"/>
      <c r="J38" s="55"/>
      <c r="K38" s="56"/>
      <c r="L38" s="56"/>
      <c r="M38" s="53"/>
      <c r="N38" s="53"/>
    </row>
    <row r="39" spans="1:14" ht="14.45">
      <c r="A39" s="8" t="s">
        <v>86</v>
      </c>
      <c r="B39" s="23"/>
      <c r="C39" t="s">
        <v>87</v>
      </c>
      <c r="E39" s="57"/>
      <c r="F39" s="53"/>
      <c r="G39" s="26"/>
      <c r="H39" s="54"/>
      <c r="I39" s="55"/>
      <c r="J39" s="55"/>
      <c r="K39" s="56"/>
      <c r="L39" s="56"/>
      <c r="M39" s="53"/>
      <c r="N39" s="53"/>
    </row>
    <row r="40" spans="1:14" ht="14.45">
      <c r="E40" s="57"/>
      <c r="F40" s="53"/>
      <c r="G40" s="26"/>
      <c r="H40" s="54"/>
      <c r="I40" s="55"/>
      <c r="J40" s="55"/>
      <c r="K40" s="56"/>
      <c r="L40" s="56"/>
      <c r="M40" s="53"/>
      <c r="N40" s="53"/>
    </row>
    <row r="41" spans="1:14" ht="14.45">
      <c r="A41" s="12"/>
      <c r="B41" s="1"/>
      <c r="C41" s="6"/>
      <c r="D41" s="6"/>
      <c r="E41" s="1"/>
      <c r="F41" s="1"/>
      <c r="G41" s="1"/>
      <c r="H41" s="29"/>
      <c r="I41" s="12"/>
      <c r="J41" s="12"/>
      <c r="K41" s="1"/>
      <c r="L41" s="1"/>
      <c r="M41" s="1"/>
      <c r="N41" s="1"/>
    </row>
    <row r="42" spans="1:14" ht="14.45">
      <c r="A42" s="8" t="s">
        <v>88</v>
      </c>
      <c r="B42" t="s">
        <v>89</v>
      </c>
      <c r="C42" t="s">
        <v>90</v>
      </c>
      <c r="E42" s="57" t="s">
        <v>91</v>
      </c>
      <c r="F42" s="53" t="s">
        <v>61</v>
      </c>
      <c r="G42" s="26"/>
      <c r="H42" s="54" t="s">
        <v>92</v>
      </c>
      <c r="I42" s="55" t="s">
        <v>93</v>
      </c>
      <c r="J42" s="55"/>
      <c r="K42" s="56"/>
      <c r="L42" s="56"/>
      <c r="M42" s="53"/>
      <c r="N42" s="53"/>
    </row>
    <row r="43" spans="1:14" ht="14.45">
      <c r="A43" s="8" t="s">
        <v>94</v>
      </c>
      <c r="B43" s="20"/>
      <c r="C43" t="s">
        <v>95</v>
      </c>
      <c r="E43" s="57"/>
      <c r="F43" s="53"/>
      <c r="G43" s="26"/>
      <c r="H43" s="54"/>
      <c r="I43" s="55"/>
      <c r="J43" s="55"/>
      <c r="K43" s="56"/>
      <c r="L43" s="56"/>
      <c r="M43" s="53"/>
      <c r="N43" s="53"/>
    </row>
    <row r="44" spans="1:14" ht="14.45">
      <c r="A44" s="8" t="s">
        <v>96</v>
      </c>
      <c r="B44" s="20"/>
      <c r="C44" t="s">
        <v>97</v>
      </c>
      <c r="E44" s="57"/>
      <c r="F44" s="53"/>
      <c r="G44" s="26"/>
      <c r="H44" s="54"/>
      <c r="I44" s="55"/>
      <c r="J44" s="55"/>
      <c r="K44" s="56"/>
      <c r="L44" s="56"/>
      <c r="M44" s="53"/>
      <c r="N44" s="53"/>
    </row>
    <row r="45" spans="1:14" ht="14.45">
      <c r="A45" s="8" t="s">
        <v>98</v>
      </c>
      <c r="B45" s="20"/>
      <c r="C45" t="s">
        <v>99</v>
      </c>
      <c r="E45" s="57"/>
      <c r="F45" s="53"/>
      <c r="G45" s="26"/>
      <c r="H45" s="54"/>
      <c r="I45" s="55"/>
      <c r="J45" s="55"/>
      <c r="K45" s="56"/>
      <c r="L45" s="56"/>
      <c r="M45" s="53"/>
      <c r="N45" s="53"/>
    </row>
    <row r="46" spans="1:14" ht="14.45">
      <c r="A46" s="8" t="s">
        <v>100</v>
      </c>
      <c r="B46" s="20"/>
      <c r="C46" t="s">
        <v>101</v>
      </c>
      <c r="E46" s="57"/>
      <c r="F46" s="53"/>
      <c r="G46" s="26"/>
      <c r="H46" s="54"/>
      <c r="I46" s="55"/>
      <c r="J46" s="55"/>
      <c r="K46" s="56"/>
      <c r="L46" s="56"/>
      <c r="M46" s="53"/>
      <c r="N46" s="53"/>
    </row>
    <row r="47" spans="1:14" ht="14.45">
      <c r="A47" s="8" t="s">
        <v>102</v>
      </c>
      <c r="C47" t="s">
        <v>103</v>
      </c>
      <c r="E47" s="57"/>
      <c r="F47" s="53"/>
      <c r="G47" s="26"/>
      <c r="H47" s="54"/>
      <c r="I47" s="55"/>
      <c r="J47" s="55"/>
      <c r="K47" s="56"/>
      <c r="L47" s="56"/>
      <c r="M47" s="53"/>
      <c r="N47" s="53"/>
    </row>
    <row r="48" spans="1:14">
      <c r="A48" s="11"/>
      <c r="B48" s="7"/>
      <c r="C48" s="7"/>
      <c r="E48" s="57"/>
      <c r="F48" s="53"/>
      <c r="G48" s="26"/>
      <c r="H48" s="54"/>
      <c r="I48" s="55"/>
      <c r="J48" s="55"/>
      <c r="K48" s="56"/>
      <c r="L48" s="56"/>
      <c r="M48" s="53"/>
      <c r="N48" s="53"/>
    </row>
    <row r="49" spans="1:14" ht="14.45">
      <c r="A49" s="12"/>
      <c r="B49" s="1"/>
      <c r="C49" s="6"/>
      <c r="D49" s="6"/>
      <c r="E49" s="1"/>
      <c r="F49" s="1"/>
      <c r="G49" s="1"/>
      <c r="H49" s="29"/>
      <c r="I49" s="12"/>
      <c r="J49" s="12"/>
      <c r="K49" s="1"/>
      <c r="L49" s="1"/>
      <c r="M49" s="1"/>
      <c r="N49" s="1"/>
    </row>
    <row r="50" spans="1:14" ht="14.45">
      <c r="A50" s="49" t="s">
        <v>104</v>
      </c>
      <c r="B50" t="s">
        <v>105</v>
      </c>
      <c r="C50" t="s">
        <v>106</v>
      </c>
      <c r="E50" s="57" t="s">
        <v>107</v>
      </c>
      <c r="F50" s="53" t="s">
        <v>108</v>
      </c>
      <c r="G50" s="26"/>
      <c r="H50" s="54" t="s">
        <v>109</v>
      </c>
      <c r="I50" s="55" t="s">
        <v>110</v>
      </c>
      <c r="J50" s="55"/>
      <c r="K50" s="56"/>
      <c r="L50" s="56"/>
      <c r="M50" s="53"/>
      <c r="N50" s="53"/>
    </row>
    <row r="51" spans="1:14" ht="14.45">
      <c r="A51" s="8" t="s">
        <v>111</v>
      </c>
      <c r="B51" s="20"/>
      <c r="C51" t="s">
        <v>112</v>
      </c>
      <c r="E51" s="57"/>
      <c r="F51" s="53"/>
      <c r="G51" s="26"/>
      <c r="H51" s="54"/>
      <c r="I51" s="55"/>
      <c r="J51" s="55"/>
      <c r="K51" s="56"/>
      <c r="L51" s="56"/>
      <c r="M51" s="53"/>
      <c r="N51" s="53"/>
    </row>
    <row r="52" spans="1:14" ht="14.45">
      <c r="A52" s="8" t="s">
        <v>113</v>
      </c>
      <c r="B52" s="20"/>
      <c r="C52" t="s">
        <v>114</v>
      </c>
      <c r="E52" s="57"/>
      <c r="F52" s="53"/>
      <c r="G52" s="26"/>
      <c r="H52" s="54"/>
      <c r="I52" s="55"/>
      <c r="J52" s="55"/>
      <c r="K52" s="56"/>
      <c r="L52" s="56"/>
      <c r="M52" s="53"/>
      <c r="N52" s="53"/>
    </row>
    <row r="53" spans="1:14" ht="14.45">
      <c r="A53" s="8" t="s">
        <v>115</v>
      </c>
      <c r="B53" s="20"/>
      <c r="C53" t="s">
        <v>116</v>
      </c>
      <c r="E53" s="57"/>
      <c r="F53" s="53"/>
      <c r="G53" s="26"/>
      <c r="H53" s="54"/>
      <c r="I53" s="55"/>
      <c r="J53" s="55"/>
      <c r="K53" s="56"/>
      <c r="L53" s="56"/>
      <c r="M53" s="53"/>
      <c r="N53" s="53"/>
    </row>
    <row r="54" spans="1:14" ht="14.45">
      <c r="A54" s="8" t="s">
        <v>117</v>
      </c>
      <c r="C54" t="s">
        <v>118</v>
      </c>
      <c r="E54" s="57"/>
      <c r="F54" s="53"/>
      <c r="G54" s="26"/>
      <c r="H54" s="54"/>
      <c r="I54" s="55"/>
      <c r="J54" s="55"/>
      <c r="K54" s="56"/>
      <c r="L54" s="56"/>
      <c r="M54" s="53"/>
      <c r="N54" s="53"/>
    </row>
    <row r="55" spans="1:14" ht="14.45">
      <c r="A55" s="8"/>
      <c r="E55" s="57"/>
      <c r="F55" s="53"/>
      <c r="G55" s="26"/>
      <c r="H55" s="54"/>
      <c r="I55" s="55"/>
      <c r="J55" s="55"/>
      <c r="K55" s="56"/>
      <c r="L55" s="56"/>
      <c r="M55" s="53"/>
      <c r="N55" s="53"/>
    </row>
    <row r="56" spans="1:14">
      <c r="A56" s="11"/>
      <c r="B56" s="7"/>
      <c r="C56" s="7"/>
      <c r="E56" s="57"/>
      <c r="F56" s="53"/>
      <c r="G56" s="26"/>
      <c r="H56" s="54"/>
      <c r="I56" s="55"/>
      <c r="J56" s="55"/>
      <c r="K56" s="56"/>
      <c r="L56" s="56"/>
      <c r="M56" s="53"/>
      <c r="N56" s="53"/>
    </row>
    <row r="57" spans="1:14" ht="14.45">
      <c r="A57" s="12"/>
      <c r="B57" s="1"/>
      <c r="C57" s="6"/>
      <c r="D57" s="6"/>
      <c r="E57" s="1"/>
      <c r="F57" s="1"/>
      <c r="G57" s="1"/>
      <c r="H57" s="29"/>
      <c r="I57" s="12"/>
      <c r="J57" s="12"/>
      <c r="K57" s="1"/>
      <c r="L57" s="1"/>
      <c r="M57" s="1"/>
      <c r="N57" s="1"/>
    </row>
    <row r="58" spans="1:14" ht="14.45">
      <c r="A58" s="49" t="s">
        <v>119</v>
      </c>
      <c r="B58" t="s">
        <v>120</v>
      </c>
      <c r="C58" t="s">
        <v>121</v>
      </c>
      <c r="E58" s="57" t="s">
        <v>122</v>
      </c>
      <c r="F58" s="53" t="s">
        <v>123</v>
      </c>
      <c r="G58" s="26"/>
      <c r="H58" s="54" t="s">
        <v>124</v>
      </c>
      <c r="I58" s="55" t="s">
        <v>125</v>
      </c>
      <c r="J58" s="55"/>
      <c r="K58" s="56"/>
      <c r="L58" s="56"/>
      <c r="M58" s="53"/>
      <c r="N58" s="53"/>
    </row>
    <row r="59" spans="1:14" ht="14.45">
      <c r="A59" s="8" t="s">
        <v>126</v>
      </c>
      <c r="B59" s="20"/>
      <c r="C59" t="s">
        <v>127</v>
      </c>
      <c r="E59" s="57"/>
      <c r="F59" s="53"/>
      <c r="G59" s="26"/>
      <c r="H59" s="54"/>
      <c r="I59" s="55"/>
      <c r="J59" s="55"/>
      <c r="K59" s="56"/>
      <c r="L59" s="56"/>
      <c r="M59" s="53"/>
      <c r="N59" s="53"/>
    </row>
    <row r="60" spans="1:14" ht="14.45">
      <c r="A60" s="8" t="s">
        <v>128</v>
      </c>
      <c r="B60" s="20"/>
      <c r="C60" t="s">
        <v>129</v>
      </c>
      <c r="E60" s="57"/>
      <c r="F60" s="53"/>
      <c r="G60" s="26"/>
      <c r="H60" s="54"/>
      <c r="I60" s="55"/>
      <c r="J60" s="55"/>
      <c r="K60" s="56"/>
      <c r="L60" s="56"/>
      <c r="M60" s="53"/>
      <c r="N60" s="53"/>
    </row>
    <row r="61" spans="1:14" ht="14.45">
      <c r="A61" s="8" t="s">
        <v>130</v>
      </c>
      <c r="B61" s="20"/>
      <c r="C61" t="s">
        <v>131</v>
      </c>
      <c r="E61" s="57"/>
      <c r="F61" s="53"/>
      <c r="G61" s="26"/>
      <c r="H61" s="54"/>
      <c r="I61" s="55"/>
      <c r="J61" s="55"/>
      <c r="K61" s="56"/>
      <c r="L61" s="56"/>
      <c r="M61" s="53"/>
      <c r="N61" s="53"/>
    </row>
    <row r="62" spans="1:14" ht="14.45">
      <c r="A62" s="8" t="s">
        <v>132</v>
      </c>
      <c r="B62" s="20"/>
      <c r="C62" t="s">
        <v>133</v>
      </c>
      <c r="E62" s="57"/>
      <c r="F62" s="53"/>
      <c r="G62" s="26"/>
      <c r="H62" s="54"/>
      <c r="I62" s="55"/>
      <c r="J62" s="55"/>
      <c r="K62" s="56"/>
      <c r="L62" s="56"/>
      <c r="M62" s="53"/>
      <c r="N62" s="53"/>
    </row>
    <row r="63" spans="1:14" ht="14.45">
      <c r="A63" s="8"/>
      <c r="B63" s="20"/>
      <c r="C63" s="20"/>
      <c r="E63" s="57"/>
      <c r="F63" s="53"/>
      <c r="G63" s="26"/>
      <c r="H63" s="54"/>
      <c r="I63" s="55"/>
      <c r="J63" s="55"/>
      <c r="K63" s="56"/>
      <c r="L63" s="56"/>
      <c r="M63" s="53"/>
      <c r="N63" s="53"/>
    </row>
    <row r="64" spans="1:14">
      <c r="A64" s="11"/>
      <c r="B64" s="7"/>
      <c r="C64" s="7"/>
      <c r="E64" s="57"/>
      <c r="F64" s="53"/>
      <c r="G64" s="26"/>
      <c r="H64" s="54"/>
      <c r="I64" s="55"/>
      <c r="J64" s="55"/>
      <c r="K64" s="56"/>
      <c r="L64" s="56"/>
      <c r="M64" s="53"/>
      <c r="N64" s="53"/>
    </row>
    <row r="65" spans="1:14" ht="14.45">
      <c r="A65" s="12"/>
      <c r="B65" s="1"/>
      <c r="C65" s="6"/>
      <c r="D65" s="6"/>
      <c r="E65" s="1"/>
      <c r="F65" s="1"/>
      <c r="G65" s="1"/>
      <c r="H65" s="29"/>
      <c r="I65" s="12"/>
      <c r="J65" s="12"/>
      <c r="K65" s="1"/>
      <c r="L65" s="1"/>
      <c r="M65" s="1"/>
      <c r="N65" s="1"/>
    </row>
    <row r="66" spans="1:14" ht="14.45">
      <c r="A66" s="8" t="s">
        <v>134</v>
      </c>
      <c r="B66" t="s">
        <v>135</v>
      </c>
      <c r="C66" t="s">
        <v>136</v>
      </c>
      <c r="E66" s="57" t="s">
        <v>137</v>
      </c>
      <c r="F66" s="53" t="s">
        <v>138</v>
      </c>
      <c r="G66" s="26"/>
      <c r="H66" s="54" t="s">
        <v>139</v>
      </c>
      <c r="I66" s="55" t="s">
        <v>140</v>
      </c>
      <c r="J66" s="55"/>
      <c r="K66" s="56"/>
      <c r="L66" s="56"/>
      <c r="M66" s="53"/>
      <c r="N66" s="53"/>
    </row>
    <row r="67" spans="1:14" ht="14.45">
      <c r="A67" s="8" t="s">
        <v>141</v>
      </c>
      <c r="B67" s="20"/>
      <c r="C67" t="s">
        <v>142</v>
      </c>
      <c r="E67" s="57"/>
      <c r="F67" s="53"/>
      <c r="G67" s="26"/>
      <c r="H67" s="54"/>
      <c r="I67" s="55"/>
      <c r="J67" s="55"/>
      <c r="K67" s="56"/>
      <c r="L67" s="56"/>
      <c r="M67" s="53"/>
      <c r="N67" s="53"/>
    </row>
    <row r="68" spans="1:14" ht="14.45">
      <c r="A68" s="8" t="s">
        <v>143</v>
      </c>
      <c r="B68" s="20"/>
      <c r="C68" t="s">
        <v>144</v>
      </c>
      <c r="E68" s="57"/>
      <c r="F68" s="53"/>
      <c r="G68" s="26"/>
      <c r="H68" s="54"/>
      <c r="I68" s="55"/>
      <c r="J68" s="55"/>
      <c r="K68" s="56"/>
      <c r="L68" s="56"/>
      <c r="M68" s="53"/>
      <c r="N68" s="53"/>
    </row>
    <row r="69" spans="1:14" ht="14.45">
      <c r="A69" s="8" t="s">
        <v>145</v>
      </c>
      <c r="B69" s="20"/>
      <c r="C69" t="s">
        <v>146</v>
      </c>
      <c r="E69" s="57"/>
      <c r="F69" s="53"/>
      <c r="G69" s="26"/>
      <c r="H69" s="54"/>
      <c r="I69" s="55"/>
      <c r="J69" s="55"/>
      <c r="K69" s="56"/>
      <c r="L69" s="56"/>
      <c r="M69" s="53"/>
      <c r="N69" s="53"/>
    </row>
    <row r="70" spans="1:14" ht="14.45">
      <c r="A70" s="8" t="s">
        <v>147</v>
      </c>
      <c r="C70" t="s">
        <v>148</v>
      </c>
      <c r="E70" s="57"/>
      <c r="F70" s="53"/>
      <c r="G70" s="26"/>
      <c r="H70" s="54"/>
      <c r="I70" s="55"/>
      <c r="J70" s="55"/>
      <c r="K70" s="56"/>
      <c r="L70" s="56"/>
      <c r="M70" s="53"/>
      <c r="N70" s="53"/>
    </row>
    <row r="71" spans="1:14" ht="14.45">
      <c r="E71" s="57"/>
      <c r="F71" s="53"/>
      <c r="G71" s="26"/>
      <c r="H71" s="54"/>
      <c r="I71" s="55"/>
      <c r="J71" s="55"/>
      <c r="K71" s="56"/>
      <c r="L71" s="56"/>
      <c r="M71" s="53"/>
      <c r="N71" s="53"/>
    </row>
    <row r="72" spans="1:14">
      <c r="A72" s="11"/>
      <c r="B72" s="7"/>
      <c r="C72" s="7"/>
      <c r="E72" s="57"/>
      <c r="F72" s="53"/>
      <c r="G72" s="26"/>
      <c r="H72" s="54"/>
      <c r="I72" s="55"/>
      <c r="J72" s="55"/>
      <c r="K72" s="56"/>
      <c r="L72" s="56"/>
      <c r="M72" s="53"/>
      <c r="N72" s="53"/>
    </row>
    <row r="73" spans="1:14" ht="14.45">
      <c r="A73" s="12"/>
      <c r="B73" s="1"/>
      <c r="C73" s="6"/>
      <c r="D73" s="6"/>
      <c r="E73" s="1"/>
      <c r="F73" s="1"/>
      <c r="G73" s="1"/>
      <c r="H73" s="29"/>
      <c r="I73" s="12"/>
      <c r="J73" s="12"/>
      <c r="K73" s="1"/>
      <c r="L73" s="1"/>
      <c r="M73" s="1"/>
      <c r="N73" s="1"/>
    </row>
    <row r="74" spans="1:14" ht="14.45">
      <c r="A74" s="8" t="s">
        <v>149</v>
      </c>
      <c r="B74" t="s">
        <v>150</v>
      </c>
      <c r="C74" t="s">
        <v>151</v>
      </c>
      <c r="E74" s="57" t="s">
        <v>152</v>
      </c>
      <c r="F74" s="53" t="s">
        <v>123</v>
      </c>
      <c r="G74" s="26"/>
      <c r="H74" s="54" t="s">
        <v>153</v>
      </c>
      <c r="I74" s="55" t="s">
        <v>154</v>
      </c>
      <c r="J74" s="55"/>
      <c r="K74" s="56"/>
      <c r="L74" s="56"/>
      <c r="M74" s="53"/>
      <c r="N74" s="53"/>
    </row>
    <row r="75" spans="1:14" ht="14.45">
      <c r="A75" s="8" t="s">
        <v>155</v>
      </c>
      <c r="B75" s="20"/>
      <c r="C75" t="s">
        <v>156</v>
      </c>
      <c r="E75" s="57"/>
      <c r="F75" s="53"/>
      <c r="G75" s="26"/>
      <c r="H75" s="54"/>
      <c r="I75" s="55"/>
      <c r="J75" s="55"/>
      <c r="K75" s="56"/>
      <c r="L75" s="56"/>
      <c r="M75" s="53"/>
      <c r="N75" s="53"/>
    </row>
    <row r="76" spans="1:14" ht="14.45">
      <c r="A76" s="8" t="s">
        <v>157</v>
      </c>
      <c r="B76" s="20"/>
      <c r="C76" t="s">
        <v>158</v>
      </c>
      <c r="E76" s="57"/>
      <c r="F76" s="53"/>
      <c r="G76" s="26"/>
      <c r="H76" s="54"/>
      <c r="I76" s="55"/>
      <c r="J76" s="55"/>
      <c r="K76" s="56"/>
      <c r="L76" s="56"/>
      <c r="M76" s="53"/>
      <c r="N76" s="53"/>
    </row>
    <row r="77" spans="1:14" ht="14.45">
      <c r="A77" s="8" t="s">
        <v>159</v>
      </c>
      <c r="B77" s="20"/>
      <c r="C77" t="s">
        <v>160</v>
      </c>
      <c r="E77" s="57"/>
      <c r="F77" s="53"/>
      <c r="G77" s="26"/>
      <c r="H77" s="54"/>
      <c r="I77" s="55"/>
      <c r="J77" s="55"/>
      <c r="K77" s="56"/>
      <c r="L77" s="56"/>
      <c r="M77" s="53"/>
      <c r="N77" s="53"/>
    </row>
    <row r="78" spans="1:14" ht="14.45">
      <c r="A78" s="8" t="s">
        <v>161</v>
      </c>
      <c r="B78" s="20"/>
      <c r="C78" t="s">
        <v>162</v>
      </c>
      <c r="E78" s="57"/>
      <c r="F78" s="53"/>
      <c r="G78" s="26"/>
      <c r="H78" s="54"/>
      <c r="I78" s="55"/>
      <c r="J78" s="55"/>
      <c r="K78" s="56"/>
      <c r="L78" s="56"/>
      <c r="M78" s="53"/>
      <c r="N78" s="53"/>
    </row>
    <row r="79" spans="1:14" ht="14.45">
      <c r="A79" s="8"/>
      <c r="B79" s="20"/>
      <c r="C79" s="20"/>
      <c r="E79" s="57"/>
      <c r="F79" s="53"/>
      <c r="G79" s="26"/>
      <c r="H79" s="54"/>
      <c r="I79" s="55"/>
      <c r="J79" s="55"/>
      <c r="K79" s="56"/>
      <c r="L79" s="56"/>
      <c r="M79" s="53"/>
      <c r="N79" s="53"/>
    </row>
    <row r="80" spans="1:14">
      <c r="A80" s="11"/>
      <c r="B80" s="7"/>
      <c r="C80" s="7"/>
      <c r="E80" s="57"/>
      <c r="F80" s="53"/>
      <c r="G80" s="26"/>
      <c r="H80" s="54"/>
      <c r="I80" s="55"/>
      <c r="J80" s="55"/>
      <c r="K80" s="56"/>
      <c r="L80" s="56"/>
      <c r="M80" s="53"/>
      <c r="N80" s="53"/>
    </row>
    <row r="81" spans="1:14" ht="14.45">
      <c r="A81" s="12"/>
      <c r="B81" s="1"/>
      <c r="C81" s="6"/>
      <c r="D81" s="6"/>
      <c r="E81" s="1"/>
      <c r="F81" s="1"/>
      <c r="G81" s="1"/>
      <c r="H81" s="29"/>
      <c r="I81" s="12"/>
      <c r="J81" s="12"/>
      <c r="K81" s="1"/>
      <c r="L81" s="1"/>
      <c r="M81" s="1"/>
      <c r="N81" s="1"/>
    </row>
    <row r="82" spans="1:14" ht="14.45">
      <c r="A82" s="8" t="s">
        <v>163</v>
      </c>
      <c r="B82" t="s">
        <v>164</v>
      </c>
      <c r="C82" t="s">
        <v>165</v>
      </c>
      <c r="E82" s="57" t="s">
        <v>166</v>
      </c>
      <c r="F82" s="53" t="s">
        <v>167</v>
      </c>
      <c r="G82" s="26"/>
      <c r="H82" s="54" t="s">
        <v>168</v>
      </c>
      <c r="I82" s="55" t="s">
        <v>169</v>
      </c>
      <c r="J82" s="55"/>
      <c r="K82" s="56"/>
      <c r="L82" s="56"/>
      <c r="M82" s="53"/>
      <c r="N82" s="53"/>
    </row>
    <row r="83" spans="1:14" ht="14.45">
      <c r="A83" s="8" t="s">
        <v>170</v>
      </c>
      <c r="B83" s="20"/>
      <c r="C83" t="s">
        <v>171</v>
      </c>
      <c r="E83" s="57"/>
      <c r="F83" s="53"/>
      <c r="G83" s="26"/>
      <c r="H83" s="54"/>
      <c r="I83" s="55"/>
      <c r="J83" s="55"/>
      <c r="K83" s="56"/>
      <c r="L83" s="56"/>
      <c r="M83" s="53"/>
      <c r="N83" s="53"/>
    </row>
    <row r="84" spans="1:14" ht="14.45">
      <c r="A84" s="8" t="s">
        <v>172</v>
      </c>
      <c r="B84" s="20"/>
      <c r="C84" t="s">
        <v>173</v>
      </c>
      <c r="E84" s="57"/>
      <c r="F84" s="53"/>
      <c r="G84" s="26"/>
      <c r="H84" s="54"/>
      <c r="I84" s="55"/>
      <c r="J84" s="55"/>
      <c r="K84" s="56"/>
      <c r="L84" s="56"/>
      <c r="M84" s="53"/>
      <c r="N84" s="53"/>
    </row>
    <row r="85" spans="1:14" ht="14.45">
      <c r="A85" s="8" t="s">
        <v>174</v>
      </c>
      <c r="B85" s="20"/>
      <c r="C85" t="s">
        <v>175</v>
      </c>
      <c r="E85" s="57"/>
      <c r="F85" s="53"/>
      <c r="G85" s="26"/>
      <c r="H85" s="54"/>
      <c r="I85" s="55"/>
      <c r="J85" s="55"/>
      <c r="K85" s="56"/>
      <c r="L85" s="56"/>
      <c r="M85" s="53"/>
      <c r="N85" s="53"/>
    </row>
    <row r="86" spans="1:14" ht="14.45">
      <c r="A86" s="8" t="s">
        <v>176</v>
      </c>
      <c r="B86" s="20"/>
      <c r="C86" t="s">
        <v>177</v>
      </c>
      <c r="E86" s="57"/>
      <c r="F86" s="53"/>
      <c r="G86" s="26"/>
      <c r="H86" s="54"/>
      <c r="I86" s="55"/>
      <c r="J86" s="55"/>
      <c r="K86" s="56"/>
      <c r="L86" s="56"/>
      <c r="M86" s="53"/>
      <c r="N86" s="53"/>
    </row>
    <row r="87" spans="1:14" ht="14.45">
      <c r="A87" s="8"/>
      <c r="B87" s="20"/>
      <c r="C87" s="20"/>
      <c r="E87" s="57"/>
      <c r="F87" s="53"/>
      <c r="G87" s="26"/>
      <c r="H87" s="54"/>
      <c r="I87" s="55"/>
      <c r="J87" s="55"/>
      <c r="K87" s="56"/>
      <c r="L87" s="56"/>
      <c r="M87" s="53"/>
      <c r="N87" s="53"/>
    </row>
    <row r="88" spans="1:14">
      <c r="A88" s="11"/>
      <c r="B88" s="7"/>
      <c r="C88" s="7"/>
      <c r="E88" s="57"/>
      <c r="F88" s="53"/>
      <c r="G88" s="26"/>
      <c r="H88" s="54"/>
      <c r="I88" s="55"/>
      <c r="J88" s="55"/>
      <c r="K88" s="56"/>
      <c r="L88" s="56"/>
      <c r="M88" s="53"/>
      <c r="N88" s="53"/>
    </row>
    <row r="89" spans="1:14" ht="14.45">
      <c r="A89" s="12"/>
      <c r="B89" s="1"/>
      <c r="C89" s="6"/>
      <c r="D89" s="6"/>
      <c r="E89" s="1"/>
      <c r="F89" s="1"/>
      <c r="G89" s="1"/>
      <c r="H89" s="29"/>
      <c r="I89" s="12"/>
      <c r="J89" s="12"/>
      <c r="K89" s="1"/>
      <c r="L89" s="1"/>
      <c r="M89" s="1"/>
      <c r="N89" s="1"/>
    </row>
    <row r="90" spans="1:14" ht="14.45">
      <c r="A90" s="8" t="s">
        <v>178</v>
      </c>
      <c r="B90" t="s">
        <v>179</v>
      </c>
      <c r="C90" t="s">
        <v>180</v>
      </c>
      <c r="E90" s="57" t="s">
        <v>181</v>
      </c>
      <c r="F90" s="53" t="s">
        <v>182</v>
      </c>
      <c r="G90" s="26"/>
      <c r="H90" s="54" t="s">
        <v>183</v>
      </c>
      <c r="I90" s="55" t="s">
        <v>184</v>
      </c>
      <c r="J90" s="55"/>
      <c r="K90" s="56"/>
      <c r="L90" s="56"/>
      <c r="M90" s="53"/>
      <c r="N90" s="53"/>
    </row>
    <row r="91" spans="1:14" ht="14.45">
      <c r="A91" s="8" t="s">
        <v>185</v>
      </c>
      <c r="B91" s="20"/>
      <c r="C91" t="s">
        <v>186</v>
      </c>
      <c r="E91" s="57"/>
      <c r="F91" s="53"/>
      <c r="G91" s="26"/>
      <c r="H91" s="54"/>
      <c r="I91" s="55"/>
      <c r="J91" s="55"/>
      <c r="K91" s="56"/>
      <c r="L91" s="56"/>
      <c r="M91" s="53"/>
      <c r="N91" s="53"/>
    </row>
    <row r="92" spans="1:14" ht="14.45">
      <c r="A92" s="8" t="s">
        <v>187</v>
      </c>
      <c r="B92" s="20"/>
      <c r="C92" t="s">
        <v>188</v>
      </c>
      <c r="E92" s="57"/>
      <c r="F92" s="53"/>
      <c r="G92" s="26"/>
      <c r="H92" s="54"/>
      <c r="I92" s="55"/>
      <c r="J92" s="55"/>
      <c r="K92" s="56"/>
      <c r="L92" s="56"/>
      <c r="M92" s="53"/>
      <c r="N92" s="53"/>
    </row>
    <row r="93" spans="1:14" ht="14.45">
      <c r="A93" s="8" t="s">
        <v>189</v>
      </c>
      <c r="B93" s="20"/>
      <c r="C93" t="s">
        <v>190</v>
      </c>
      <c r="E93" s="57"/>
      <c r="F93" s="53"/>
      <c r="G93" s="26"/>
      <c r="H93" s="54"/>
      <c r="I93" s="55"/>
      <c r="J93" s="55"/>
      <c r="K93" s="56"/>
      <c r="L93" s="56"/>
      <c r="M93" s="53"/>
      <c r="N93" s="53"/>
    </row>
    <row r="94" spans="1:14" ht="14.45">
      <c r="A94" s="8" t="s">
        <v>191</v>
      </c>
      <c r="B94" s="20"/>
      <c r="C94" t="s">
        <v>192</v>
      </c>
      <c r="E94" s="57"/>
      <c r="F94" s="53"/>
      <c r="G94" s="26"/>
      <c r="H94" s="54"/>
      <c r="I94" s="55"/>
      <c r="J94" s="55"/>
      <c r="K94" s="56"/>
      <c r="L94" s="56"/>
      <c r="M94" s="53"/>
      <c r="N94" s="53"/>
    </row>
    <row r="95" spans="1:14" ht="14.45">
      <c r="A95" s="8"/>
      <c r="B95" s="20"/>
      <c r="C95" s="20"/>
      <c r="E95" s="57"/>
      <c r="F95" s="53"/>
      <c r="G95" s="26"/>
      <c r="H95" s="54"/>
      <c r="I95" s="55"/>
      <c r="J95" s="55"/>
      <c r="K95" s="56"/>
      <c r="L95" s="56"/>
      <c r="M95" s="53"/>
      <c r="N95" s="53"/>
    </row>
    <row r="96" spans="1:14">
      <c r="A96" s="11"/>
      <c r="B96" s="7"/>
      <c r="C96" s="7"/>
      <c r="E96" s="57"/>
      <c r="F96" s="53"/>
      <c r="G96" s="26"/>
      <c r="H96" s="54"/>
      <c r="I96" s="55"/>
      <c r="J96" s="55"/>
      <c r="K96" s="56"/>
      <c r="L96" s="56"/>
      <c r="M96" s="53"/>
      <c r="N96" s="53"/>
    </row>
    <row r="97" spans="1:14" ht="14.45">
      <c r="A97" s="12"/>
      <c r="B97" s="1"/>
      <c r="C97" s="6"/>
      <c r="D97" s="6"/>
      <c r="E97" s="1"/>
      <c r="F97" s="1"/>
      <c r="G97" s="1"/>
      <c r="H97" s="29"/>
      <c r="I97" s="12"/>
      <c r="J97" s="12"/>
      <c r="K97" s="1"/>
      <c r="L97" s="1"/>
      <c r="M97" s="1"/>
      <c r="N97" s="1"/>
    </row>
    <row r="98" spans="1:14" ht="14.45">
      <c r="A98" s="8" t="s">
        <v>193</v>
      </c>
      <c r="B98" t="s">
        <v>194</v>
      </c>
      <c r="C98" t="s">
        <v>195</v>
      </c>
      <c r="E98" s="57" t="s">
        <v>196</v>
      </c>
      <c r="F98" s="53" t="s">
        <v>18</v>
      </c>
      <c r="G98" s="26"/>
      <c r="H98" s="54" t="s">
        <v>197</v>
      </c>
      <c r="I98" s="55" t="s">
        <v>198</v>
      </c>
      <c r="J98" s="55"/>
      <c r="K98" s="56"/>
      <c r="L98" s="56"/>
      <c r="M98" s="53"/>
      <c r="N98" s="53"/>
    </row>
    <row r="99" spans="1:14" ht="14.45">
      <c r="A99" s="8" t="s">
        <v>199</v>
      </c>
      <c r="B99" s="20"/>
      <c r="C99" t="s">
        <v>200</v>
      </c>
      <c r="E99" s="57"/>
      <c r="F99" s="53"/>
      <c r="G99" s="26"/>
      <c r="H99" s="54"/>
      <c r="I99" s="55"/>
      <c r="J99" s="55"/>
      <c r="K99" s="56"/>
      <c r="L99" s="56"/>
      <c r="M99" s="53"/>
      <c r="N99" s="53"/>
    </row>
    <row r="100" spans="1:14" ht="14.45">
      <c r="A100" s="8" t="s">
        <v>201</v>
      </c>
      <c r="B100" s="20"/>
      <c r="C100" t="s">
        <v>202</v>
      </c>
      <c r="E100" s="57"/>
      <c r="F100" s="53"/>
      <c r="G100" s="26"/>
      <c r="H100" s="54"/>
      <c r="I100" s="55"/>
      <c r="J100" s="55"/>
      <c r="K100" s="56"/>
      <c r="L100" s="56"/>
      <c r="M100" s="53"/>
      <c r="N100" s="53"/>
    </row>
    <row r="101" spans="1:14" ht="14.45">
      <c r="A101" s="8" t="s">
        <v>203</v>
      </c>
      <c r="B101" s="20"/>
      <c r="C101" t="s">
        <v>204</v>
      </c>
      <c r="E101" s="57"/>
      <c r="F101" s="53"/>
      <c r="G101" s="26"/>
      <c r="H101" s="54"/>
      <c r="I101" s="55"/>
      <c r="J101" s="55"/>
      <c r="K101" s="56"/>
      <c r="L101" s="56"/>
      <c r="M101" s="53"/>
      <c r="N101" s="53"/>
    </row>
    <row r="102" spans="1:14" ht="14.45">
      <c r="A102" s="8" t="s">
        <v>205</v>
      </c>
      <c r="B102" s="20"/>
      <c r="C102" t="s">
        <v>206</v>
      </c>
      <c r="E102" s="57"/>
      <c r="F102" s="53"/>
      <c r="G102" s="26"/>
      <c r="H102" s="54"/>
      <c r="I102" s="55"/>
      <c r="J102" s="55"/>
      <c r="K102" s="56"/>
      <c r="L102" s="56"/>
      <c r="M102" s="53"/>
      <c r="N102" s="53"/>
    </row>
    <row r="103" spans="1:14" ht="14.45">
      <c r="A103" s="8"/>
      <c r="B103" s="20"/>
      <c r="C103" s="20"/>
      <c r="E103" s="57"/>
      <c r="F103" s="53"/>
      <c r="G103" s="26"/>
      <c r="H103" s="54"/>
      <c r="I103" s="55"/>
      <c r="J103" s="55"/>
      <c r="K103" s="56"/>
      <c r="L103" s="56"/>
      <c r="M103" s="53"/>
      <c r="N103" s="53"/>
    </row>
    <row r="104" spans="1:14">
      <c r="A104" s="11"/>
      <c r="B104" s="7"/>
      <c r="C104" s="7"/>
      <c r="E104" s="57"/>
      <c r="F104" s="53"/>
      <c r="G104" s="26"/>
      <c r="H104" s="54"/>
      <c r="I104" s="55"/>
      <c r="J104" s="55"/>
      <c r="K104" s="56"/>
      <c r="L104" s="56"/>
      <c r="M104" s="53"/>
      <c r="N104" s="53"/>
    </row>
    <row r="105" spans="1:14" ht="14.45">
      <c r="A105" s="12"/>
      <c r="B105" s="1"/>
      <c r="C105" s="6"/>
      <c r="D105" s="6"/>
      <c r="E105" s="1"/>
      <c r="F105" s="1"/>
      <c r="G105" s="1"/>
      <c r="H105" s="29"/>
      <c r="I105" s="12"/>
      <c r="J105" s="12"/>
      <c r="K105" s="1"/>
      <c r="L105" s="1"/>
      <c r="M105" s="1"/>
      <c r="N105" s="1"/>
    </row>
    <row r="106" spans="1:14" ht="14.45">
      <c r="A106" s="8" t="s">
        <v>207</v>
      </c>
      <c r="B106" t="s">
        <v>208</v>
      </c>
      <c r="C106" t="s">
        <v>209</v>
      </c>
      <c r="E106" s="57" t="s">
        <v>210</v>
      </c>
      <c r="F106" s="53" t="s">
        <v>123</v>
      </c>
      <c r="G106" s="26" t="s">
        <v>211</v>
      </c>
      <c r="H106" s="54" t="s">
        <v>212</v>
      </c>
      <c r="I106" s="55" t="s">
        <v>213</v>
      </c>
      <c r="J106" s="55"/>
      <c r="K106" s="56"/>
      <c r="L106" s="56"/>
      <c r="M106" s="53"/>
      <c r="N106" s="53"/>
    </row>
    <row r="107" spans="1:14" ht="14.45">
      <c r="A107" s="8" t="s">
        <v>214</v>
      </c>
      <c r="B107" s="20"/>
      <c r="C107" t="s">
        <v>215</v>
      </c>
      <c r="E107" s="57"/>
      <c r="F107" s="53"/>
      <c r="G107" s="26"/>
      <c r="H107" s="54"/>
      <c r="I107" s="55"/>
      <c r="J107" s="55"/>
      <c r="K107" s="56"/>
      <c r="L107" s="56"/>
      <c r="M107" s="53"/>
      <c r="N107" s="53"/>
    </row>
    <row r="108" spans="1:14" ht="14.45">
      <c r="A108" s="8" t="s">
        <v>216</v>
      </c>
      <c r="B108" s="20"/>
      <c r="C108" t="s">
        <v>217</v>
      </c>
      <c r="E108" s="57"/>
      <c r="F108" s="53"/>
      <c r="G108" s="26"/>
      <c r="H108" s="54"/>
      <c r="I108" s="55"/>
      <c r="J108" s="55"/>
      <c r="K108" s="56"/>
      <c r="L108" s="56"/>
      <c r="M108" s="53"/>
      <c r="N108" s="53"/>
    </row>
    <row r="109" spans="1:14" ht="14.45">
      <c r="A109" s="8"/>
      <c r="B109" s="20"/>
      <c r="C109" s="20"/>
      <c r="E109" s="57"/>
      <c r="F109" s="53"/>
      <c r="G109" s="26"/>
      <c r="H109" s="54"/>
      <c r="I109" s="55"/>
      <c r="J109" s="55"/>
      <c r="K109" s="56"/>
      <c r="L109" s="56"/>
      <c r="M109" s="53"/>
      <c r="N109" s="53"/>
    </row>
    <row r="110" spans="1:14" ht="14.45">
      <c r="A110" s="8"/>
      <c r="B110" s="20"/>
      <c r="C110" s="20"/>
      <c r="E110" s="57"/>
      <c r="F110" s="53"/>
      <c r="G110" s="26"/>
      <c r="H110" s="54"/>
      <c r="I110" s="55"/>
      <c r="J110" s="55"/>
      <c r="K110" s="56"/>
      <c r="L110" s="56"/>
      <c r="M110" s="53"/>
      <c r="N110" s="53"/>
    </row>
    <row r="111" spans="1:14" ht="14.45">
      <c r="A111" s="8"/>
      <c r="E111" s="57"/>
      <c r="F111" s="53"/>
      <c r="G111" s="26"/>
      <c r="H111" s="54"/>
      <c r="I111" s="55"/>
      <c r="J111" s="55"/>
      <c r="K111" s="56"/>
      <c r="L111" s="56"/>
      <c r="M111" s="53"/>
      <c r="N111" s="53"/>
    </row>
    <row r="112" spans="1:14">
      <c r="A112" s="11"/>
      <c r="B112" s="7"/>
      <c r="C112" s="7"/>
      <c r="E112" s="57"/>
      <c r="F112" s="53"/>
      <c r="G112" s="26"/>
      <c r="H112" s="54"/>
      <c r="I112" s="55"/>
      <c r="J112" s="55"/>
      <c r="K112" s="56"/>
      <c r="L112" s="56"/>
      <c r="M112" s="53"/>
      <c r="N112" s="53"/>
    </row>
    <row r="113" spans="1:14" ht="14.45">
      <c r="A113" s="12"/>
      <c r="B113" s="1"/>
      <c r="C113" s="6"/>
      <c r="D113" s="6"/>
      <c r="E113" s="1"/>
      <c r="F113" s="1"/>
      <c r="G113" s="1"/>
      <c r="H113" s="29"/>
      <c r="I113" s="12"/>
      <c r="J113" s="12"/>
      <c r="K113" s="1"/>
      <c r="L113" s="1"/>
      <c r="M113" s="1"/>
      <c r="N113" s="1"/>
    </row>
    <row r="114" spans="1:14" ht="14.45">
      <c r="A114" s="8" t="s">
        <v>218</v>
      </c>
      <c r="B114" t="s">
        <v>219</v>
      </c>
      <c r="C114" t="s">
        <v>220</v>
      </c>
      <c r="E114" s="57" t="s">
        <v>221</v>
      </c>
      <c r="F114" s="53" t="s">
        <v>222</v>
      </c>
      <c r="G114" s="26"/>
      <c r="H114" s="54" t="s">
        <v>223</v>
      </c>
      <c r="I114" s="55"/>
      <c r="J114" s="55"/>
      <c r="K114" s="56"/>
      <c r="L114" s="56"/>
      <c r="M114" s="53"/>
      <c r="N114" s="53"/>
    </row>
    <row r="115" spans="1:14" ht="14.45">
      <c r="A115" s="8" t="s">
        <v>224</v>
      </c>
      <c r="B115" s="20"/>
      <c r="C115" t="s">
        <v>225</v>
      </c>
      <c r="E115" s="57"/>
      <c r="F115" s="53"/>
      <c r="G115" s="26"/>
      <c r="H115" s="54"/>
      <c r="I115" s="55"/>
      <c r="J115" s="55"/>
      <c r="K115" s="56"/>
      <c r="L115" s="56"/>
      <c r="M115" s="53"/>
      <c r="N115" s="53"/>
    </row>
    <row r="116" spans="1:14" ht="14.45">
      <c r="A116" s="8" t="s">
        <v>226</v>
      </c>
      <c r="B116" s="20"/>
      <c r="C116" t="s">
        <v>227</v>
      </c>
      <c r="E116" s="57"/>
      <c r="F116" s="53"/>
      <c r="G116" s="26"/>
      <c r="H116" s="54"/>
      <c r="I116" s="55"/>
      <c r="J116" s="55"/>
      <c r="K116" s="56"/>
      <c r="L116" s="56"/>
      <c r="M116" s="53"/>
      <c r="N116" s="53"/>
    </row>
    <row r="117" spans="1:14" ht="14.45">
      <c r="A117" s="8" t="s">
        <v>228</v>
      </c>
      <c r="B117" s="20"/>
      <c r="C117" t="s">
        <v>229</v>
      </c>
      <c r="E117" s="57"/>
      <c r="F117" s="53"/>
      <c r="G117" s="26"/>
      <c r="H117" s="54"/>
      <c r="I117" s="55"/>
      <c r="J117" s="55"/>
      <c r="K117" s="56"/>
      <c r="L117" s="56"/>
      <c r="M117" s="53"/>
      <c r="N117" s="53"/>
    </row>
    <row r="118" spans="1:14" ht="14.45">
      <c r="A118" s="8" t="s">
        <v>230</v>
      </c>
      <c r="B118" s="20"/>
      <c r="C118" t="s">
        <v>231</v>
      </c>
      <c r="E118" s="57"/>
      <c r="F118" s="53"/>
      <c r="G118" s="26"/>
      <c r="H118" s="54"/>
      <c r="I118" s="55"/>
      <c r="J118" s="55"/>
      <c r="K118" s="56"/>
      <c r="L118" s="56"/>
      <c r="M118" s="53"/>
      <c r="N118" s="53"/>
    </row>
    <row r="119" spans="1:14" ht="14.45">
      <c r="A119" s="8" t="s">
        <v>232</v>
      </c>
      <c r="C119" t="s">
        <v>233</v>
      </c>
      <c r="E119" s="57"/>
      <c r="F119" s="53"/>
      <c r="G119" s="26"/>
      <c r="H119" s="54"/>
      <c r="I119" s="55"/>
      <c r="J119" s="55"/>
      <c r="K119" s="56"/>
      <c r="L119" s="56"/>
      <c r="M119" s="53"/>
      <c r="N119" s="53"/>
    </row>
    <row r="120" spans="1:14">
      <c r="A120" s="11"/>
      <c r="B120" s="7"/>
      <c r="C120" s="7"/>
      <c r="E120" s="57"/>
      <c r="F120" s="53"/>
      <c r="G120" s="26"/>
      <c r="H120" s="54"/>
      <c r="I120" s="55"/>
      <c r="J120" s="55"/>
      <c r="K120" s="56"/>
      <c r="L120" s="56"/>
      <c r="M120" s="53"/>
      <c r="N120" s="53"/>
    </row>
    <row r="121" spans="1:14" ht="14.45">
      <c r="A121" s="12"/>
      <c r="B121" s="1"/>
      <c r="C121" s="6"/>
      <c r="D121" s="6"/>
      <c r="E121" s="1"/>
      <c r="F121" s="1"/>
      <c r="G121" s="1"/>
      <c r="H121" s="29"/>
      <c r="I121" s="12"/>
      <c r="J121" s="12"/>
      <c r="K121" s="1"/>
      <c r="L121" s="1"/>
      <c r="M121" s="1"/>
      <c r="N121" s="1"/>
    </row>
    <row r="122" spans="1:14" ht="14.45">
      <c r="A122" s="8" t="s">
        <v>234</v>
      </c>
      <c r="B122" t="s">
        <v>235</v>
      </c>
      <c r="C122" t="s">
        <v>236</v>
      </c>
      <c r="E122" s="57" t="s">
        <v>237</v>
      </c>
      <c r="F122" s="53" t="s">
        <v>222</v>
      </c>
      <c r="G122" s="26"/>
      <c r="H122" s="54" t="s">
        <v>238</v>
      </c>
      <c r="I122" s="55" t="s">
        <v>239</v>
      </c>
      <c r="J122" s="55"/>
      <c r="K122" s="56"/>
      <c r="L122" s="56"/>
      <c r="M122" s="53"/>
      <c r="N122" s="53"/>
    </row>
    <row r="123" spans="1:14" ht="14.45">
      <c r="A123" s="8" t="s">
        <v>240</v>
      </c>
      <c r="B123" s="20"/>
      <c r="C123" t="s">
        <v>241</v>
      </c>
      <c r="E123" s="57"/>
      <c r="F123" s="53"/>
      <c r="G123" s="26"/>
      <c r="H123" s="54"/>
      <c r="I123" s="55"/>
      <c r="J123" s="55"/>
      <c r="K123" s="56"/>
      <c r="L123" s="56"/>
      <c r="M123" s="53"/>
      <c r="N123" s="53"/>
    </row>
    <row r="124" spans="1:14" ht="14.45">
      <c r="A124" s="8" t="s">
        <v>242</v>
      </c>
      <c r="B124" s="20"/>
      <c r="C124" t="s">
        <v>243</v>
      </c>
      <c r="E124" s="57"/>
      <c r="F124" s="53"/>
      <c r="G124" s="26"/>
      <c r="H124" s="54"/>
      <c r="I124" s="55"/>
      <c r="J124" s="55"/>
      <c r="K124" s="56"/>
      <c r="L124" s="56"/>
      <c r="M124" s="53"/>
      <c r="N124" s="53"/>
    </row>
    <row r="125" spans="1:14" ht="14.45">
      <c r="A125" s="8" t="s">
        <v>244</v>
      </c>
      <c r="B125" s="20"/>
      <c r="C125" t="s">
        <v>245</v>
      </c>
      <c r="E125" s="57"/>
      <c r="F125" s="53"/>
      <c r="G125" s="26"/>
      <c r="H125" s="54"/>
      <c r="I125" s="55"/>
      <c r="J125" s="55"/>
      <c r="K125" s="56"/>
      <c r="L125" s="56"/>
      <c r="M125" s="53"/>
      <c r="N125" s="53"/>
    </row>
    <row r="126" spans="1:14" ht="14.45">
      <c r="A126" s="8" t="s">
        <v>246</v>
      </c>
      <c r="B126" s="23"/>
      <c r="C126" t="s">
        <v>247</v>
      </c>
      <c r="E126" s="57"/>
      <c r="F126" s="53"/>
      <c r="G126" s="26"/>
      <c r="H126" s="54"/>
      <c r="I126" s="55"/>
      <c r="J126" s="55"/>
      <c r="K126" s="56"/>
      <c r="L126" s="56"/>
      <c r="M126" s="53"/>
      <c r="N126" s="53"/>
    </row>
    <row r="127" spans="1:14" ht="14.45">
      <c r="A127" s="22"/>
      <c r="B127" s="23"/>
      <c r="C127" s="23"/>
      <c r="E127" s="57"/>
      <c r="F127" s="53"/>
      <c r="G127" s="26"/>
      <c r="H127" s="54"/>
      <c r="I127" s="55"/>
      <c r="J127" s="55"/>
      <c r="K127" s="56"/>
      <c r="L127" s="56"/>
      <c r="M127" s="53"/>
      <c r="N127" s="53"/>
    </row>
    <row r="128" spans="1:14" ht="14.45">
      <c r="A128" s="21"/>
      <c r="B128" s="20"/>
      <c r="C128" s="20"/>
      <c r="D128" s="25"/>
      <c r="E128" s="57"/>
      <c r="F128" s="53"/>
      <c r="G128" s="26"/>
      <c r="H128" s="54"/>
      <c r="I128" s="55"/>
      <c r="J128" s="55"/>
      <c r="K128" s="56"/>
      <c r="L128" s="56"/>
      <c r="M128" s="53"/>
      <c r="N128" s="53"/>
    </row>
    <row r="129" spans="1:14" ht="14.45">
      <c r="A129" s="12"/>
      <c r="B129" s="1"/>
      <c r="C129" s="6"/>
      <c r="D129" s="6"/>
      <c r="E129" s="1"/>
      <c r="F129" s="1"/>
      <c r="G129" s="1"/>
      <c r="H129" s="29"/>
      <c r="I129" s="12"/>
      <c r="J129" s="12"/>
      <c r="K129" s="1"/>
      <c r="L129" s="1"/>
      <c r="M129" s="1"/>
      <c r="N129" s="1"/>
    </row>
    <row r="130" spans="1:14" ht="14.45">
      <c r="A130" s="8" t="s">
        <v>248</v>
      </c>
      <c r="B130" t="s">
        <v>249</v>
      </c>
      <c r="C130" t="s">
        <v>250</v>
      </c>
      <c r="E130" s="57" t="s">
        <v>251</v>
      </c>
      <c r="F130" s="53" t="s">
        <v>252</v>
      </c>
      <c r="G130" s="26"/>
      <c r="H130" s="54" t="s">
        <v>253</v>
      </c>
      <c r="I130" s="55" t="s">
        <v>254</v>
      </c>
      <c r="J130" s="55"/>
      <c r="K130" s="56"/>
      <c r="L130" s="56"/>
      <c r="M130" s="53"/>
      <c r="N130" s="53"/>
    </row>
    <row r="131" spans="1:14" ht="14.45">
      <c r="A131" s="20" t="s">
        <v>255</v>
      </c>
      <c r="B131" s="20"/>
      <c r="C131" t="s">
        <v>256</v>
      </c>
      <c r="E131" s="57"/>
      <c r="F131" s="53"/>
      <c r="G131" s="26"/>
      <c r="H131" s="54"/>
      <c r="I131" s="55"/>
      <c r="J131" s="55"/>
      <c r="K131" s="56"/>
      <c r="L131" s="56"/>
      <c r="M131" s="53"/>
      <c r="N131" s="53"/>
    </row>
    <row r="132" spans="1:14" ht="14.45">
      <c r="A132" s="20" t="s">
        <v>257</v>
      </c>
      <c r="B132" s="20"/>
      <c r="C132" t="s">
        <v>258</v>
      </c>
      <c r="E132" s="57"/>
      <c r="F132" s="53"/>
      <c r="G132" s="26"/>
      <c r="H132" s="54"/>
      <c r="I132" s="55"/>
      <c r="J132" s="55"/>
      <c r="K132" s="56"/>
      <c r="L132" s="56"/>
      <c r="M132" s="53"/>
      <c r="N132" s="53"/>
    </row>
    <row r="133" spans="1:14" ht="14.45">
      <c r="A133" s="20" t="s">
        <v>259</v>
      </c>
      <c r="B133" s="20"/>
      <c r="C133" t="s">
        <v>260</v>
      </c>
      <c r="E133" s="57"/>
      <c r="F133" s="53"/>
      <c r="G133" s="26" t="s">
        <v>261</v>
      </c>
      <c r="H133" s="54"/>
      <c r="I133" s="55"/>
      <c r="J133" s="55"/>
      <c r="K133" s="56"/>
      <c r="L133" s="56"/>
      <c r="M133" s="53"/>
      <c r="N133" s="53"/>
    </row>
    <row r="134" spans="1:14" ht="14.45">
      <c r="A134" s="20" t="s">
        <v>262</v>
      </c>
      <c r="B134" s="20"/>
      <c r="C134" t="s">
        <v>263</v>
      </c>
      <c r="E134" s="57"/>
      <c r="F134" s="53"/>
      <c r="G134" s="26"/>
      <c r="H134" s="54"/>
      <c r="I134" s="55"/>
      <c r="J134" s="55"/>
      <c r="K134" s="56"/>
      <c r="L134" s="56"/>
      <c r="M134" s="53"/>
      <c r="N134" s="53"/>
    </row>
    <row r="135" spans="1:14" ht="14.45">
      <c r="A135" s="20" t="s">
        <v>264</v>
      </c>
      <c r="C135" t="s">
        <v>265</v>
      </c>
      <c r="E135" s="57"/>
      <c r="F135" s="53"/>
      <c r="G135" s="26"/>
      <c r="H135" s="54"/>
      <c r="I135" s="55"/>
      <c r="J135" s="55"/>
      <c r="K135" s="56"/>
      <c r="L135" s="56"/>
      <c r="M135" s="53"/>
      <c r="N135" s="53"/>
    </row>
    <row r="136" spans="1:14">
      <c r="A136" s="11"/>
      <c r="B136" s="7"/>
      <c r="C136" s="7"/>
      <c r="E136" s="57"/>
      <c r="F136" s="53"/>
      <c r="G136" s="26"/>
      <c r="H136" s="54"/>
      <c r="I136" s="55"/>
      <c r="J136" s="55"/>
      <c r="K136" s="56"/>
      <c r="L136" s="56"/>
      <c r="M136" s="53"/>
      <c r="N136" s="53"/>
    </row>
    <row r="137" spans="1:14" ht="14.45">
      <c r="A137" s="12"/>
      <c r="B137" s="1"/>
      <c r="C137" s="6"/>
      <c r="D137" s="6"/>
      <c r="E137" s="1"/>
      <c r="F137" s="1"/>
      <c r="G137" s="1"/>
      <c r="H137" s="29"/>
      <c r="I137" s="12"/>
      <c r="J137" s="12"/>
      <c r="K137" s="1"/>
      <c r="L137" s="1"/>
      <c r="M137" s="1"/>
      <c r="N137" s="1"/>
    </row>
    <row r="138" spans="1:14" ht="14.45">
      <c r="A138" s="8" t="s">
        <v>266</v>
      </c>
      <c r="B138" t="s">
        <v>267</v>
      </c>
      <c r="C138" t="s">
        <v>268</v>
      </c>
      <c r="E138" s="57" t="s">
        <v>269</v>
      </c>
      <c r="F138" s="53" t="s">
        <v>18</v>
      </c>
      <c r="G138" s="26"/>
      <c r="H138" s="54" t="s">
        <v>270</v>
      </c>
      <c r="I138" s="55" t="s">
        <v>271</v>
      </c>
      <c r="J138" s="55"/>
      <c r="K138" s="56"/>
      <c r="L138" s="56"/>
      <c r="M138" s="53"/>
      <c r="N138" s="53"/>
    </row>
    <row r="139" spans="1:14" ht="14.45">
      <c r="A139" s="8" t="s">
        <v>272</v>
      </c>
      <c r="B139" s="20"/>
      <c r="C139" t="s">
        <v>273</v>
      </c>
      <c r="E139" s="57"/>
      <c r="F139" s="53"/>
      <c r="G139" s="26"/>
      <c r="H139" s="54"/>
      <c r="I139" s="55"/>
      <c r="J139" s="55"/>
      <c r="K139" s="56"/>
      <c r="L139" s="56"/>
      <c r="M139" s="53"/>
      <c r="N139" s="53"/>
    </row>
    <row r="140" spans="1:14" ht="14.45">
      <c r="A140" s="8" t="s">
        <v>274</v>
      </c>
      <c r="B140" s="24"/>
      <c r="C140" t="s">
        <v>275</v>
      </c>
      <c r="D140" s="25"/>
      <c r="E140" s="57"/>
      <c r="F140" s="53"/>
      <c r="G140" s="26"/>
      <c r="H140" s="54"/>
      <c r="I140" s="55"/>
      <c r="J140" s="55"/>
      <c r="K140" s="56"/>
      <c r="L140" s="56"/>
      <c r="M140" s="53"/>
      <c r="N140" s="53"/>
    </row>
    <row r="141" spans="1:14" ht="14.45">
      <c r="A141" s="8" t="s">
        <v>276</v>
      </c>
      <c r="B141" s="23"/>
      <c r="C141" t="s">
        <v>277</v>
      </c>
      <c r="D141" s="25"/>
      <c r="E141" s="57"/>
      <c r="F141" s="53"/>
      <c r="G141" s="26"/>
      <c r="H141" s="54"/>
      <c r="I141" s="55"/>
      <c r="J141" s="55"/>
      <c r="K141" s="56"/>
      <c r="L141" s="56"/>
      <c r="M141" s="53"/>
      <c r="N141" s="53"/>
    </row>
    <row r="142" spans="1:14" ht="14.45">
      <c r="A142" s="8" t="s">
        <v>278</v>
      </c>
      <c r="B142" s="23"/>
      <c r="C142" t="s">
        <v>279</v>
      </c>
      <c r="D142" s="25"/>
      <c r="E142" s="57"/>
      <c r="F142" s="53"/>
      <c r="G142" s="26"/>
      <c r="H142" s="54"/>
      <c r="I142" s="55"/>
      <c r="J142" s="55"/>
      <c r="K142" s="56"/>
      <c r="L142" s="56"/>
      <c r="M142" s="53"/>
      <c r="N142" s="53"/>
    </row>
    <row r="143" spans="1:14" ht="14.45">
      <c r="A143" s="22"/>
      <c r="B143" s="27"/>
      <c r="C143" s="27"/>
      <c r="D143" s="25"/>
      <c r="E143" s="57"/>
      <c r="F143" s="53"/>
      <c r="G143" s="26"/>
      <c r="H143" s="54"/>
      <c r="I143" s="55"/>
      <c r="J143" s="55"/>
      <c r="K143" s="56"/>
      <c r="L143" s="56"/>
      <c r="M143" s="53"/>
      <c r="N143" s="53"/>
    </row>
    <row r="144" spans="1:14" ht="14.45">
      <c r="E144" s="57"/>
      <c r="F144" s="53"/>
      <c r="G144" s="26"/>
      <c r="H144" s="54"/>
      <c r="I144" s="55"/>
      <c r="J144" s="55"/>
      <c r="K144" s="56"/>
      <c r="L144" s="56"/>
      <c r="M144" s="53"/>
      <c r="N144" s="53"/>
    </row>
    <row r="145" spans="1:14" ht="14.45">
      <c r="A145" s="12"/>
      <c r="B145" s="1"/>
      <c r="C145" s="6"/>
      <c r="D145" s="6"/>
      <c r="E145" s="1"/>
      <c r="F145" s="1"/>
      <c r="G145" s="1"/>
      <c r="H145" s="29"/>
      <c r="I145" s="12"/>
      <c r="J145" s="12"/>
      <c r="K145" s="1"/>
      <c r="L145" s="1"/>
      <c r="M145" s="1"/>
      <c r="N145" s="1"/>
    </row>
    <row r="146" spans="1:14" ht="14.45">
      <c r="A146" s="8" t="s">
        <v>280</v>
      </c>
      <c r="B146" t="s">
        <v>281</v>
      </c>
      <c r="C146" t="s">
        <v>282</v>
      </c>
      <c r="D146" s="25"/>
      <c r="E146" s="57" t="s">
        <v>283</v>
      </c>
      <c r="F146" s="53" t="s">
        <v>18</v>
      </c>
      <c r="G146" s="26"/>
      <c r="H146" s="54" t="s">
        <v>284</v>
      </c>
      <c r="I146" s="55" t="s">
        <v>285</v>
      </c>
      <c r="J146" s="55"/>
      <c r="K146" s="56"/>
      <c r="L146" s="56"/>
      <c r="M146" s="53"/>
      <c r="N146" s="53"/>
    </row>
    <row r="147" spans="1:14" ht="14.45">
      <c r="A147" s="8" t="s">
        <v>286</v>
      </c>
      <c r="B147" s="20"/>
      <c r="C147" t="s">
        <v>287</v>
      </c>
      <c r="D147" s="25"/>
      <c r="E147" s="57"/>
      <c r="F147" s="53"/>
      <c r="G147" s="26"/>
      <c r="H147" s="54"/>
      <c r="I147" s="55"/>
      <c r="J147" s="55"/>
      <c r="K147" s="56"/>
      <c r="L147" s="56"/>
      <c r="M147" s="53"/>
      <c r="N147" s="53"/>
    </row>
    <row r="148" spans="1:14" ht="14.45">
      <c r="A148" s="8" t="s">
        <v>288</v>
      </c>
      <c r="B148" s="20"/>
      <c r="C148" t="s">
        <v>289</v>
      </c>
      <c r="D148" s="25"/>
      <c r="E148" s="57"/>
      <c r="F148" s="53"/>
      <c r="G148" s="26"/>
      <c r="H148" s="54"/>
      <c r="I148" s="55"/>
      <c r="J148" s="55"/>
      <c r="K148" s="56"/>
      <c r="L148" s="56"/>
      <c r="M148" s="53"/>
      <c r="N148" s="53"/>
    </row>
    <row r="149" spans="1:14" ht="14.45">
      <c r="A149" s="8" t="s">
        <v>290</v>
      </c>
      <c r="B149" s="20"/>
      <c r="C149" t="s">
        <v>291</v>
      </c>
      <c r="D149" s="25"/>
      <c r="E149" s="57"/>
      <c r="F149" s="53"/>
      <c r="G149" s="26"/>
      <c r="H149" s="54"/>
      <c r="I149" s="55"/>
      <c r="J149" s="55"/>
      <c r="K149" s="56"/>
      <c r="L149" s="56"/>
      <c r="M149" s="53"/>
      <c r="N149" s="53"/>
    </row>
    <row r="150" spans="1:14" ht="14.45">
      <c r="A150" s="8"/>
      <c r="B150" s="20"/>
      <c r="C150" s="20"/>
      <c r="D150" s="25"/>
      <c r="E150" s="57"/>
      <c r="F150" s="53"/>
      <c r="G150" s="26"/>
      <c r="H150" s="54"/>
      <c r="I150" s="55"/>
      <c r="J150" s="55"/>
      <c r="K150" s="56"/>
      <c r="L150" s="56"/>
      <c r="M150" s="53"/>
      <c r="N150" s="53"/>
    </row>
    <row r="151" spans="1:14" ht="14.45">
      <c r="E151" s="57"/>
      <c r="F151" s="53"/>
      <c r="G151" s="26"/>
      <c r="H151" s="54"/>
      <c r="I151" s="55"/>
      <c r="J151" s="55"/>
      <c r="K151" s="56"/>
      <c r="L151" s="56"/>
      <c r="M151" s="53"/>
      <c r="N151" s="53"/>
    </row>
    <row r="152" spans="1:14">
      <c r="A152" s="11"/>
      <c r="B152" s="7"/>
      <c r="C152" s="7"/>
      <c r="E152" s="57"/>
      <c r="F152" s="53"/>
      <c r="G152" s="26"/>
      <c r="H152" s="54"/>
      <c r="I152" s="55"/>
      <c r="J152" s="55"/>
      <c r="K152" s="56"/>
      <c r="L152" s="56"/>
      <c r="M152" s="53"/>
      <c r="N152" s="53"/>
    </row>
    <row r="153" spans="1:14" ht="14.45">
      <c r="A153" s="12"/>
      <c r="B153" s="1"/>
      <c r="C153" s="6"/>
      <c r="D153" s="6"/>
      <c r="E153" s="1"/>
      <c r="F153" s="1"/>
      <c r="G153" s="1"/>
      <c r="H153" s="29"/>
      <c r="I153" s="12"/>
      <c r="J153" s="12"/>
      <c r="K153" s="1"/>
      <c r="L153" s="1"/>
      <c r="M153" s="1"/>
      <c r="N153" s="1"/>
    </row>
    <row r="154" spans="1:14" ht="14.45">
      <c r="A154" s="8" t="s">
        <v>292</v>
      </c>
      <c r="B154" t="s">
        <v>293</v>
      </c>
      <c r="C154" t="s">
        <v>294</v>
      </c>
      <c r="D154" s="25"/>
      <c r="E154" s="57" t="s">
        <v>295</v>
      </c>
      <c r="F154" s="53" t="s">
        <v>61</v>
      </c>
      <c r="G154" s="26"/>
      <c r="H154" s="54" t="s">
        <v>296</v>
      </c>
      <c r="I154" s="55" t="s">
        <v>297</v>
      </c>
      <c r="J154" s="55"/>
      <c r="K154" s="56"/>
      <c r="L154" s="56"/>
      <c r="M154" s="53"/>
      <c r="N154" s="53"/>
    </row>
    <row r="155" spans="1:14" ht="14.45">
      <c r="A155" s="8" t="s">
        <v>298</v>
      </c>
      <c r="B155" s="20"/>
      <c r="C155" t="s">
        <v>299</v>
      </c>
      <c r="D155" s="25"/>
      <c r="E155" s="57"/>
      <c r="F155" s="53"/>
      <c r="G155" s="26"/>
      <c r="H155" s="54"/>
      <c r="I155" s="55"/>
      <c r="J155" s="55"/>
      <c r="K155" s="56"/>
      <c r="L155" s="56"/>
      <c r="M155" s="53"/>
      <c r="N155" s="53"/>
    </row>
    <row r="156" spans="1:14" ht="14.45">
      <c r="A156" s="8" t="s">
        <v>300</v>
      </c>
      <c r="B156" s="20"/>
      <c r="C156" t="s">
        <v>301</v>
      </c>
      <c r="D156" s="25"/>
      <c r="E156" s="57"/>
      <c r="F156" s="53"/>
      <c r="G156" s="26"/>
      <c r="H156" s="54"/>
      <c r="I156" s="55"/>
      <c r="J156" s="55"/>
      <c r="K156" s="56"/>
      <c r="L156" s="56"/>
      <c r="M156" s="53"/>
      <c r="N156" s="53"/>
    </row>
    <row r="157" spans="1:14" ht="14.45">
      <c r="A157" s="8" t="s">
        <v>302</v>
      </c>
      <c r="B157" s="20"/>
      <c r="C157" t="s">
        <v>303</v>
      </c>
      <c r="D157" s="25"/>
      <c r="E157" s="57"/>
      <c r="F157" s="53"/>
      <c r="G157" s="26"/>
      <c r="H157" s="54"/>
      <c r="I157" s="55"/>
      <c r="J157" s="55"/>
      <c r="K157" s="56"/>
      <c r="L157" s="56"/>
      <c r="M157" s="53"/>
      <c r="N157" s="53"/>
    </row>
    <row r="158" spans="1:14" ht="14.45">
      <c r="A158" s="8" t="s">
        <v>304</v>
      </c>
      <c r="B158" s="20"/>
      <c r="C158" t="s">
        <v>305</v>
      </c>
      <c r="D158" s="25"/>
      <c r="E158" s="57"/>
      <c r="F158" s="53"/>
      <c r="G158" s="26"/>
      <c r="H158" s="54"/>
      <c r="I158" s="55"/>
      <c r="J158" s="55"/>
      <c r="K158" s="56"/>
      <c r="L158" s="56"/>
      <c r="M158" s="53"/>
      <c r="N158" s="53"/>
    </row>
    <row r="159" spans="1:14" ht="14.45">
      <c r="A159" s="8"/>
      <c r="E159" s="57"/>
      <c r="F159" s="53"/>
      <c r="G159" s="26"/>
      <c r="H159" s="54"/>
      <c r="I159" s="55"/>
      <c r="J159" s="55"/>
      <c r="K159" s="56"/>
      <c r="L159" s="56"/>
      <c r="M159" s="53"/>
      <c r="N159" s="53"/>
    </row>
    <row r="160" spans="1:14">
      <c r="A160" s="11"/>
      <c r="B160" s="7"/>
      <c r="C160" s="7"/>
      <c r="E160" s="57"/>
      <c r="F160" s="53"/>
      <c r="G160" s="26"/>
      <c r="H160" s="54"/>
      <c r="I160" s="55"/>
      <c r="J160" s="55"/>
      <c r="K160" s="56"/>
      <c r="L160" s="56"/>
      <c r="M160" s="53"/>
      <c r="N160" s="53"/>
    </row>
    <row r="161" spans="1:14" ht="14.45">
      <c r="A161" s="12"/>
      <c r="B161" s="1"/>
      <c r="C161" s="6"/>
      <c r="D161" s="6"/>
      <c r="E161" s="1"/>
      <c r="F161" s="1"/>
      <c r="G161" s="1"/>
      <c r="H161" s="29"/>
      <c r="I161" s="12"/>
      <c r="J161" s="12"/>
      <c r="K161" s="1"/>
      <c r="L161" s="1"/>
      <c r="M161" s="1"/>
      <c r="N161" s="1"/>
    </row>
    <row r="162" spans="1:14" ht="14.45">
      <c r="A162" s="8" t="s">
        <v>306</v>
      </c>
      <c r="B162" t="s">
        <v>307</v>
      </c>
      <c r="C162" t="s">
        <v>308</v>
      </c>
      <c r="D162" s="25"/>
      <c r="E162" s="57" t="s">
        <v>309</v>
      </c>
      <c r="F162" s="53" t="s">
        <v>310</v>
      </c>
      <c r="G162" s="26"/>
      <c r="H162" s="54" t="s">
        <v>311</v>
      </c>
      <c r="I162" s="55" t="s">
        <v>312</v>
      </c>
      <c r="J162" s="55"/>
      <c r="K162" s="56"/>
      <c r="L162" s="56"/>
      <c r="M162" s="53"/>
      <c r="N162" s="53"/>
    </row>
    <row r="163" spans="1:14" ht="14.45">
      <c r="A163" s="8" t="s">
        <v>313</v>
      </c>
      <c r="B163" s="20"/>
      <c r="C163" t="s">
        <v>314</v>
      </c>
      <c r="D163" s="25"/>
      <c r="E163" s="57"/>
      <c r="F163" s="53"/>
      <c r="G163" s="26"/>
      <c r="H163" s="54"/>
      <c r="I163" s="55"/>
      <c r="J163" s="55"/>
      <c r="K163" s="56"/>
      <c r="L163" s="56"/>
      <c r="M163" s="53"/>
      <c r="N163" s="53"/>
    </row>
    <row r="164" spans="1:14" ht="14.45">
      <c r="A164" s="8" t="s">
        <v>315</v>
      </c>
      <c r="B164" s="20"/>
      <c r="C164" t="s">
        <v>316</v>
      </c>
      <c r="D164" s="25"/>
      <c r="E164" s="57"/>
      <c r="F164" s="53"/>
      <c r="G164" s="26"/>
      <c r="H164" s="54"/>
      <c r="I164" s="55"/>
      <c r="J164" s="55"/>
      <c r="K164" s="56"/>
      <c r="L164" s="56"/>
      <c r="M164" s="53"/>
      <c r="N164" s="53"/>
    </row>
    <row r="165" spans="1:14" ht="14.45">
      <c r="A165" s="8" t="s">
        <v>317</v>
      </c>
      <c r="B165" s="20"/>
      <c r="C165" t="s">
        <v>318</v>
      </c>
      <c r="D165" s="25"/>
      <c r="E165" s="57"/>
      <c r="F165" s="53"/>
      <c r="G165" s="26"/>
      <c r="H165" s="54"/>
      <c r="I165" s="55"/>
      <c r="J165" s="55"/>
      <c r="K165" s="56"/>
      <c r="L165" s="56"/>
      <c r="M165" s="53"/>
      <c r="N165" s="53"/>
    </row>
    <row r="166" spans="1:14" ht="14.45">
      <c r="A166" s="8" t="s">
        <v>319</v>
      </c>
      <c r="B166" s="20"/>
      <c r="C166" t="s">
        <v>320</v>
      </c>
      <c r="D166" s="25"/>
      <c r="E166" s="57"/>
      <c r="F166" s="53"/>
      <c r="G166" s="26"/>
      <c r="H166" s="54"/>
      <c r="I166" s="55"/>
      <c r="J166" s="55"/>
      <c r="K166" s="56"/>
      <c r="L166" s="56"/>
      <c r="M166" s="53"/>
      <c r="N166" s="53"/>
    </row>
    <row r="167" spans="1:14" ht="14.45">
      <c r="A167" s="8" t="s">
        <v>321</v>
      </c>
      <c r="B167" s="20"/>
      <c r="C167" t="s">
        <v>322</v>
      </c>
      <c r="D167" s="25"/>
      <c r="E167" s="57"/>
      <c r="F167" s="53"/>
      <c r="G167" s="26"/>
      <c r="H167" s="54"/>
      <c r="I167" s="55"/>
      <c r="J167" s="55"/>
      <c r="K167" s="56"/>
      <c r="L167" s="56"/>
      <c r="M167" s="53"/>
      <c r="N167" s="53"/>
    </row>
    <row r="168" spans="1:14">
      <c r="A168" s="11"/>
      <c r="B168" s="7"/>
      <c r="C168" s="7"/>
      <c r="E168" s="57"/>
      <c r="F168" s="53"/>
      <c r="G168" s="26"/>
      <c r="H168" s="54"/>
      <c r="I168" s="55"/>
      <c r="J168" s="55"/>
      <c r="K168" s="56"/>
      <c r="L168" s="56"/>
      <c r="M168" s="53"/>
      <c r="N168" s="53"/>
    </row>
    <row r="169" spans="1:14" ht="14.45">
      <c r="A169" s="12"/>
      <c r="B169" s="1"/>
      <c r="C169" s="6"/>
      <c r="D169" s="6"/>
      <c r="E169" s="1"/>
      <c r="F169" s="1"/>
      <c r="G169" s="1"/>
      <c r="H169" s="29"/>
      <c r="I169" s="12"/>
      <c r="J169" s="12"/>
      <c r="K169" s="1"/>
      <c r="L169" s="1"/>
      <c r="M169" s="1"/>
      <c r="N169" s="1"/>
    </row>
    <row r="170" spans="1:14" ht="14.45">
      <c r="A170" s="8" t="s">
        <v>323</v>
      </c>
      <c r="B170" t="s">
        <v>324</v>
      </c>
      <c r="C170" t="s">
        <v>325</v>
      </c>
      <c r="D170" s="25"/>
      <c r="E170" s="57" t="s">
        <v>326</v>
      </c>
      <c r="F170" s="53" t="s">
        <v>18</v>
      </c>
      <c r="G170" s="26"/>
      <c r="H170" s="54" t="s">
        <v>327</v>
      </c>
      <c r="I170" s="55"/>
      <c r="J170" s="55"/>
      <c r="K170" s="56"/>
      <c r="L170" s="56"/>
      <c r="M170" s="53"/>
      <c r="N170" s="53"/>
    </row>
    <row r="171" spans="1:14" ht="14.45">
      <c r="A171" s="8" t="s">
        <v>328</v>
      </c>
      <c r="B171" s="20"/>
      <c r="C171" t="s">
        <v>329</v>
      </c>
      <c r="D171" s="25"/>
      <c r="E171" s="57"/>
      <c r="F171" s="53"/>
      <c r="G171" s="26"/>
      <c r="H171" s="54"/>
      <c r="I171" s="55"/>
      <c r="J171" s="55"/>
      <c r="K171" s="56"/>
      <c r="L171" s="56"/>
      <c r="M171" s="53"/>
      <c r="N171" s="53"/>
    </row>
    <row r="172" spans="1:14" ht="14.45">
      <c r="A172" s="8" t="s">
        <v>330</v>
      </c>
      <c r="B172" s="20"/>
      <c r="C172" t="s">
        <v>331</v>
      </c>
      <c r="D172" s="25"/>
      <c r="E172" s="57"/>
      <c r="F172" s="53"/>
      <c r="G172" s="26"/>
      <c r="H172" s="54"/>
      <c r="I172" s="55"/>
      <c r="J172" s="55"/>
      <c r="K172" s="56"/>
      <c r="L172" s="56"/>
      <c r="M172" s="53"/>
      <c r="N172" s="53"/>
    </row>
    <row r="173" spans="1:14" ht="14.45">
      <c r="A173" s="8" t="s">
        <v>332</v>
      </c>
      <c r="B173" s="20"/>
      <c r="C173" t="s">
        <v>333</v>
      </c>
      <c r="D173" s="25"/>
      <c r="E173" s="57"/>
      <c r="F173" s="53"/>
      <c r="G173" s="26"/>
      <c r="H173" s="54"/>
      <c r="I173" s="55"/>
      <c r="J173" s="55"/>
      <c r="K173" s="56"/>
      <c r="L173" s="56"/>
      <c r="M173" s="53"/>
      <c r="N173" s="53"/>
    </row>
    <row r="174" spans="1:14" ht="14.45">
      <c r="A174" s="8" t="s">
        <v>334</v>
      </c>
      <c r="B174" s="20"/>
      <c r="C174" t="s">
        <v>335</v>
      </c>
      <c r="D174" s="25"/>
      <c r="E174" s="57"/>
      <c r="F174" s="53"/>
      <c r="G174" s="26"/>
      <c r="H174" s="54"/>
      <c r="I174" s="55"/>
      <c r="J174" s="55"/>
      <c r="K174" s="56"/>
      <c r="L174" s="56"/>
      <c r="M174" s="53"/>
      <c r="N174" s="53"/>
    </row>
    <row r="175" spans="1:14" ht="14.45">
      <c r="A175" s="8" t="s">
        <v>336</v>
      </c>
      <c r="B175" s="20"/>
      <c r="C175" t="s">
        <v>337</v>
      </c>
      <c r="D175" s="25"/>
      <c r="E175" s="57"/>
      <c r="F175" s="53"/>
      <c r="G175" s="26"/>
      <c r="H175" s="54"/>
      <c r="I175" s="55"/>
      <c r="J175" s="55"/>
      <c r="K175" s="56"/>
      <c r="L175" s="56"/>
      <c r="M175" s="53"/>
      <c r="N175" s="53"/>
    </row>
    <row r="176" spans="1:14">
      <c r="A176" s="11"/>
      <c r="B176" s="7"/>
      <c r="C176" s="7"/>
      <c r="E176" s="57"/>
      <c r="F176" s="53"/>
      <c r="G176" s="26"/>
      <c r="H176" s="54"/>
      <c r="I176" s="55"/>
      <c r="J176" s="55"/>
      <c r="K176" s="56"/>
      <c r="L176" s="56"/>
      <c r="M176" s="53"/>
      <c r="N176" s="53"/>
    </row>
    <row r="177" spans="1:14" ht="14.45">
      <c r="A177" s="12"/>
      <c r="B177" s="1"/>
      <c r="C177" s="6"/>
      <c r="D177" s="6"/>
      <c r="E177" s="1"/>
      <c r="F177" s="1"/>
      <c r="G177" s="1"/>
      <c r="H177" s="29"/>
      <c r="I177" s="12"/>
      <c r="J177" s="12"/>
      <c r="K177" s="1"/>
      <c r="L177" s="1"/>
      <c r="M177" s="1"/>
      <c r="N177" s="1"/>
    </row>
    <row r="178" spans="1:14" ht="14.45">
      <c r="A178" s="49" t="s">
        <v>338</v>
      </c>
      <c r="B178" t="s">
        <v>339</v>
      </c>
      <c r="C178" t="s">
        <v>340</v>
      </c>
      <c r="D178" s="25"/>
      <c r="E178" s="57" t="s">
        <v>341</v>
      </c>
      <c r="F178" s="53" t="s">
        <v>342</v>
      </c>
      <c r="G178" s="26"/>
      <c r="H178" s="65" t="s">
        <v>343</v>
      </c>
      <c r="I178" s="55"/>
      <c r="J178" s="55"/>
      <c r="K178" s="56"/>
      <c r="L178" s="56"/>
      <c r="M178" s="53"/>
      <c r="N178" s="53"/>
    </row>
    <row r="179" spans="1:14" ht="14.45">
      <c r="A179" s="8" t="s">
        <v>344</v>
      </c>
      <c r="B179" s="20"/>
      <c r="C179" t="s">
        <v>345</v>
      </c>
      <c r="D179" s="25"/>
      <c r="E179" s="57"/>
      <c r="F179" s="53"/>
      <c r="G179" s="26"/>
      <c r="H179" s="66"/>
      <c r="I179" s="55"/>
      <c r="J179" s="55"/>
      <c r="K179" s="56"/>
      <c r="L179" s="56"/>
      <c r="M179" s="53"/>
      <c r="N179" s="53"/>
    </row>
    <row r="180" spans="1:14" ht="14.45">
      <c r="A180" s="8" t="s">
        <v>346</v>
      </c>
      <c r="B180" s="20"/>
      <c r="C180" t="s">
        <v>347</v>
      </c>
      <c r="D180" s="25"/>
      <c r="E180" s="57"/>
      <c r="F180" s="53"/>
      <c r="G180" s="26"/>
      <c r="H180" s="66"/>
      <c r="I180" s="55"/>
      <c r="J180" s="55"/>
      <c r="K180" s="56"/>
      <c r="L180" s="56"/>
      <c r="M180" s="53"/>
      <c r="N180" s="53"/>
    </row>
    <row r="181" spans="1:14" ht="14.45">
      <c r="A181" s="8" t="s">
        <v>348</v>
      </c>
      <c r="B181" s="20"/>
      <c r="C181" t="s">
        <v>349</v>
      </c>
      <c r="D181" s="25"/>
      <c r="E181" s="57"/>
      <c r="F181" s="53"/>
      <c r="G181" s="26"/>
      <c r="H181" s="66"/>
      <c r="I181" s="55"/>
      <c r="J181" s="55"/>
      <c r="K181" s="56"/>
      <c r="L181" s="56"/>
      <c r="M181" s="53"/>
      <c r="N181" s="53"/>
    </row>
    <row r="182" spans="1:14" ht="14.45">
      <c r="A182" s="8"/>
      <c r="B182" s="20"/>
      <c r="C182" s="20"/>
      <c r="D182" s="25"/>
      <c r="E182" s="57"/>
      <c r="F182" s="53"/>
      <c r="G182" s="26"/>
      <c r="H182" s="66"/>
      <c r="I182" s="55"/>
      <c r="J182" s="55"/>
      <c r="K182" s="56"/>
      <c r="L182" s="56"/>
      <c r="M182" s="53"/>
      <c r="N182" s="53"/>
    </row>
    <row r="183" spans="1:14" ht="14.45">
      <c r="A183" s="8"/>
      <c r="B183" s="20"/>
      <c r="C183" s="20"/>
      <c r="D183" s="25"/>
      <c r="E183" s="57"/>
      <c r="F183" s="53"/>
      <c r="G183" s="26"/>
      <c r="H183" s="66"/>
      <c r="I183" s="55"/>
      <c r="J183" s="55"/>
      <c r="K183" s="56"/>
      <c r="L183" s="56"/>
      <c r="M183" s="53"/>
      <c r="N183" s="53"/>
    </row>
    <row r="184" spans="1:14">
      <c r="A184" s="11"/>
      <c r="B184" s="7"/>
      <c r="C184" s="7"/>
      <c r="E184" s="57"/>
      <c r="F184" s="53"/>
      <c r="G184" s="26"/>
      <c r="H184" s="66"/>
      <c r="I184" s="55"/>
      <c r="J184" s="55"/>
      <c r="K184" s="56"/>
      <c r="L184" s="56"/>
      <c r="M184" s="53"/>
      <c r="N184" s="53"/>
    </row>
    <row r="185" spans="1:14" ht="14.45">
      <c r="A185" s="12"/>
      <c r="B185" s="1"/>
      <c r="C185" s="6"/>
      <c r="D185" s="6"/>
      <c r="E185" s="1"/>
      <c r="F185" s="1"/>
      <c r="G185" s="1"/>
      <c r="H185" s="29"/>
      <c r="I185" s="12"/>
      <c r="J185" s="12"/>
      <c r="K185" s="1"/>
      <c r="L185" s="1"/>
      <c r="M185" s="1"/>
      <c r="N185" s="1"/>
    </row>
    <row r="186" spans="1:14" ht="14.45">
      <c r="A186" s="8" t="s">
        <v>350</v>
      </c>
      <c r="B186" t="s">
        <v>351</v>
      </c>
      <c r="C186" t="s">
        <v>352</v>
      </c>
      <c r="D186" s="25"/>
      <c r="E186" s="57" t="s">
        <v>353</v>
      </c>
      <c r="F186" s="53" t="s">
        <v>167</v>
      </c>
      <c r="G186" s="26"/>
      <c r="H186" s="54" t="s">
        <v>354</v>
      </c>
      <c r="I186" s="55" t="s">
        <v>355</v>
      </c>
      <c r="J186" s="55"/>
      <c r="K186" s="56"/>
      <c r="L186" s="56"/>
      <c r="M186" s="53"/>
      <c r="N186" s="53"/>
    </row>
    <row r="187" spans="1:14" ht="14.45">
      <c r="A187" s="8" t="s">
        <v>356</v>
      </c>
      <c r="B187" s="20"/>
      <c r="C187" t="s">
        <v>357</v>
      </c>
      <c r="D187" s="25"/>
      <c r="E187" s="57"/>
      <c r="F187" s="53"/>
      <c r="G187" s="26"/>
      <c r="H187" s="54"/>
      <c r="I187" s="55"/>
      <c r="J187" s="55"/>
      <c r="K187" s="56"/>
      <c r="L187" s="56"/>
      <c r="M187" s="53"/>
      <c r="N187" s="53"/>
    </row>
    <row r="188" spans="1:14" ht="14.45">
      <c r="A188" s="8" t="s">
        <v>358</v>
      </c>
      <c r="B188" s="20"/>
      <c r="C188" t="s">
        <v>359</v>
      </c>
      <c r="D188" s="25"/>
      <c r="E188" s="57"/>
      <c r="F188" s="53"/>
      <c r="G188" s="26"/>
      <c r="H188" s="54"/>
      <c r="I188" s="55"/>
      <c r="J188" s="55"/>
      <c r="K188" s="56"/>
      <c r="L188" s="56"/>
      <c r="M188" s="53"/>
      <c r="N188" s="53"/>
    </row>
    <row r="189" spans="1:14" ht="14.45">
      <c r="A189" s="8" t="s">
        <v>360</v>
      </c>
      <c r="B189" s="20"/>
      <c r="C189" t="s">
        <v>361</v>
      </c>
      <c r="D189" s="25"/>
      <c r="E189" s="57"/>
      <c r="F189" s="53"/>
      <c r="G189" s="26"/>
      <c r="H189" s="54"/>
      <c r="I189" s="55"/>
      <c r="J189" s="55"/>
      <c r="K189" s="56"/>
      <c r="L189" s="56"/>
      <c r="M189" s="53"/>
      <c r="N189" s="53"/>
    </row>
    <row r="190" spans="1:14" ht="14.45">
      <c r="A190" s="8" t="s">
        <v>362</v>
      </c>
      <c r="B190" s="23"/>
      <c r="C190" t="s">
        <v>363</v>
      </c>
      <c r="D190" s="25"/>
      <c r="E190" s="57"/>
      <c r="F190" s="53"/>
      <c r="G190" s="26"/>
      <c r="H190" s="54"/>
      <c r="I190" s="55"/>
      <c r="J190" s="55"/>
      <c r="K190" s="56"/>
      <c r="L190" s="56"/>
      <c r="M190" s="53"/>
      <c r="N190" s="53"/>
    </row>
    <row r="191" spans="1:14" ht="14.45">
      <c r="A191" s="20" t="s">
        <v>364</v>
      </c>
      <c r="C191" t="s">
        <v>365</v>
      </c>
      <c r="E191" s="57"/>
      <c r="F191" s="53"/>
      <c r="G191" s="26"/>
      <c r="H191" s="54"/>
      <c r="I191" s="55"/>
      <c r="J191" s="55"/>
      <c r="K191" s="56"/>
      <c r="L191" s="56"/>
      <c r="M191" s="53"/>
      <c r="N191" s="53"/>
    </row>
    <row r="192" spans="1:14">
      <c r="A192" s="11"/>
      <c r="B192" s="7"/>
      <c r="C192" s="7"/>
      <c r="E192" s="57"/>
      <c r="F192" s="53"/>
      <c r="G192" s="26"/>
      <c r="H192" s="54"/>
      <c r="I192" s="55"/>
      <c r="J192" s="55"/>
      <c r="K192" s="56"/>
      <c r="L192" s="56"/>
      <c r="M192" s="53"/>
      <c r="N192" s="53"/>
    </row>
    <row r="193" spans="1:14" ht="14.45">
      <c r="A193" s="12"/>
      <c r="B193" s="1"/>
      <c r="C193" s="6"/>
      <c r="D193" s="6"/>
      <c r="E193" s="1"/>
      <c r="F193" s="1"/>
      <c r="G193" s="1"/>
      <c r="H193" s="29"/>
      <c r="I193" s="12"/>
      <c r="J193" s="12"/>
      <c r="K193" s="1"/>
      <c r="L193" s="1"/>
      <c r="M193" s="1"/>
      <c r="N193" s="1"/>
    </row>
    <row r="194" spans="1:14" ht="14.45">
      <c r="A194" s="20" t="s">
        <v>366</v>
      </c>
      <c r="B194" t="s">
        <v>367</v>
      </c>
      <c r="C194" t="s">
        <v>368</v>
      </c>
      <c r="D194" s="25"/>
      <c r="E194" s="57" t="s">
        <v>369</v>
      </c>
      <c r="F194" s="53" t="s">
        <v>222</v>
      </c>
      <c r="G194" s="26"/>
      <c r="H194" s="54" t="s">
        <v>370</v>
      </c>
      <c r="I194" s="55" t="s">
        <v>371</v>
      </c>
      <c r="J194" s="55"/>
      <c r="K194" s="56"/>
      <c r="L194" s="56"/>
      <c r="M194" s="53"/>
      <c r="N194" s="53"/>
    </row>
    <row r="195" spans="1:14" ht="14.45">
      <c r="A195" s="20" t="s">
        <v>372</v>
      </c>
      <c r="B195" s="20"/>
      <c r="C195" t="s">
        <v>373</v>
      </c>
      <c r="D195" s="25"/>
      <c r="E195" s="57"/>
      <c r="F195" s="53"/>
      <c r="G195" s="26"/>
      <c r="H195" s="54"/>
      <c r="I195" s="55"/>
      <c r="J195" s="55"/>
      <c r="K195" s="56"/>
      <c r="L195" s="56"/>
      <c r="M195" s="53"/>
      <c r="N195" s="53"/>
    </row>
    <row r="196" spans="1:14" ht="14.45">
      <c r="A196" s="20" t="s">
        <v>374</v>
      </c>
      <c r="B196" s="20"/>
      <c r="C196" t="s">
        <v>375</v>
      </c>
      <c r="D196" s="25"/>
      <c r="E196" s="57"/>
      <c r="F196" s="53"/>
      <c r="G196" s="26"/>
      <c r="H196" s="54"/>
      <c r="I196" s="55"/>
      <c r="J196" s="55"/>
      <c r="K196" s="56"/>
      <c r="L196" s="56"/>
      <c r="M196" s="53"/>
      <c r="N196" s="53"/>
    </row>
    <row r="197" spans="1:14" ht="14.45">
      <c r="A197" s="8" t="s">
        <v>376</v>
      </c>
      <c r="C197" t="s">
        <v>377</v>
      </c>
      <c r="E197" s="57"/>
      <c r="F197" s="53"/>
      <c r="G197" s="26"/>
      <c r="H197" s="54"/>
      <c r="I197" s="55"/>
      <c r="J197" s="55"/>
      <c r="K197" s="56"/>
      <c r="L197" s="56"/>
      <c r="M197" s="53"/>
      <c r="N197" s="53"/>
    </row>
    <row r="198" spans="1:14" ht="14.45">
      <c r="A198" s="8"/>
      <c r="E198" s="57"/>
      <c r="F198" s="53"/>
      <c r="G198" s="26"/>
      <c r="H198" s="54"/>
      <c r="I198" s="55"/>
      <c r="J198" s="55"/>
      <c r="K198" s="56"/>
      <c r="L198" s="56"/>
      <c r="M198" s="53"/>
      <c r="N198" s="53"/>
    </row>
    <row r="199" spans="1:14" ht="14.45">
      <c r="E199" s="57"/>
      <c r="F199" s="53"/>
      <c r="G199" s="26"/>
      <c r="H199" s="54"/>
      <c r="I199" s="55"/>
      <c r="J199" s="55"/>
      <c r="K199" s="56"/>
      <c r="L199" s="56"/>
      <c r="M199" s="53"/>
      <c r="N199" s="53"/>
    </row>
    <row r="200" spans="1:14">
      <c r="A200" s="11"/>
      <c r="B200" s="7"/>
      <c r="C200" s="7"/>
      <c r="E200" s="57"/>
      <c r="F200" s="53"/>
      <c r="G200" s="26"/>
      <c r="H200" s="54"/>
      <c r="I200" s="55"/>
      <c r="J200" s="55"/>
      <c r="K200" s="56"/>
      <c r="L200" s="56"/>
      <c r="M200" s="53"/>
      <c r="N200" s="53"/>
    </row>
    <row r="201" spans="1:14" ht="14.45">
      <c r="A201" s="12"/>
      <c r="B201" s="1"/>
      <c r="C201" s="6"/>
      <c r="D201" s="6"/>
      <c r="E201" s="1"/>
      <c r="F201" s="1"/>
      <c r="G201" s="1"/>
      <c r="H201" s="29"/>
      <c r="I201" s="12"/>
      <c r="J201" s="12"/>
      <c r="K201" s="1"/>
      <c r="L201" s="1"/>
      <c r="M201" s="1"/>
      <c r="N201" s="1"/>
    </row>
    <row r="202" spans="1:14" ht="14.45">
      <c r="A202" s="8" t="s">
        <v>378</v>
      </c>
      <c r="B202" t="s">
        <v>379</v>
      </c>
      <c r="C202" t="s">
        <v>380</v>
      </c>
      <c r="D202" s="25"/>
      <c r="E202" s="57" t="s">
        <v>381</v>
      </c>
      <c r="F202" s="53" t="s">
        <v>31</v>
      </c>
      <c r="G202" s="26"/>
      <c r="H202" s="54" t="s">
        <v>382</v>
      </c>
      <c r="I202" s="55" t="s">
        <v>383</v>
      </c>
      <c r="J202" s="55"/>
      <c r="K202" s="56"/>
      <c r="L202" s="56"/>
      <c r="M202" s="53"/>
      <c r="N202" s="53"/>
    </row>
    <row r="203" spans="1:14" ht="14.45">
      <c r="A203" s="8" t="s">
        <v>384</v>
      </c>
      <c r="B203" s="20"/>
      <c r="C203" t="s">
        <v>385</v>
      </c>
      <c r="D203" s="25"/>
      <c r="E203" s="57"/>
      <c r="F203" s="53"/>
      <c r="G203" s="26"/>
      <c r="H203" s="54"/>
      <c r="I203" s="55"/>
      <c r="J203" s="55"/>
      <c r="K203" s="56"/>
      <c r="L203" s="56"/>
      <c r="M203" s="53"/>
      <c r="N203" s="53"/>
    </row>
    <row r="204" spans="1:14" ht="14.45">
      <c r="A204" s="8" t="s">
        <v>386</v>
      </c>
      <c r="B204" s="20"/>
      <c r="C204" t="s">
        <v>387</v>
      </c>
      <c r="D204" s="25"/>
      <c r="E204" s="57"/>
      <c r="F204" s="53"/>
      <c r="G204" s="26"/>
      <c r="H204" s="54"/>
      <c r="I204" s="55"/>
      <c r="J204" s="55"/>
      <c r="K204" s="56"/>
      <c r="L204" s="56"/>
      <c r="M204" s="53"/>
      <c r="N204" s="53"/>
    </row>
    <row r="205" spans="1:14" ht="14.45">
      <c r="A205" s="8" t="s">
        <v>388</v>
      </c>
      <c r="B205" s="20"/>
      <c r="C205" t="s">
        <v>389</v>
      </c>
      <c r="D205" s="25"/>
      <c r="E205" s="57"/>
      <c r="F205" s="53"/>
      <c r="G205" s="26"/>
      <c r="H205" s="54"/>
      <c r="I205" s="55"/>
      <c r="J205" s="55"/>
      <c r="K205" s="56"/>
      <c r="L205" s="56"/>
      <c r="M205" s="53"/>
      <c r="N205" s="53"/>
    </row>
    <row r="206" spans="1:14" ht="14.45">
      <c r="A206" s="8"/>
      <c r="B206" s="20"/>
      <c r="C206" s="20"/>
      <c r="D206" s="25"/>
      <c r="E206" s="57"/>
      <c r="F206" s="53"/>
      <c r="G206" s="26"/>
      <c r="H206" s="54"/>
      <c r="I206" s="55"/>
      <c r="J206" s="55"/>
      <c r="K206" s="56"/>
      <c r="L206" s="56"/>
      <c r="M206" s="53"/>
      <c r="N206" s="53"/>
    </row>
    <row r="207" spans="1:14" ht="14.45">
      <c r="A207" s="8"/>
      <c r="B207" s="20"/>
      <c r="C207" s="20"/>
      <c r="D207" s="25"/>
      <c r="E207" s="57"/>
      <c r="F207" s="53"/>
      <c r="G207" s="26"/>
      <c r="H207" s="54"/>
      <c r="I207" s="55"/>
      <c r="J207" s="55"/>
      <c r="K207" s="56"/>
      <c r="L207" s="56"/>
      <c r="M207" s="53"/>
      <c r="N207" s="53"/>
    </row>
    <row r="208" spans="1:14" ht="14.45">
      <c r="A208" s="22"/>
      <c r="B208" s="23"/>
      <c r="C208" s="23"/>
      <c r="D208" s="25"/>
      <c r="E208" s="57"/>
      <c r="F208" s="53"/>
      <c r="G208" s="26"/>
      <c r="H208" s="54"/>
      <c r="I208" s="55"/>
      <c r="J208" s="55"/>
      <c r="K208" s="56"/>
      <c r="L208" s="56"/>
      <c r="M208" s="53"/>
      <c r="N208" s="53"/>
    </row>
    <row r="209" spans="1:14" ht="14.45">
      <c r="A209" s="12"/>
      <c r="B209" s="1"/>
      <c r="C209" s="6"/>
      <c r="D209" s="6"/>
      <c r="E209" s="1"/>
      <c r="F209" s="1"/>
      <c r="G209" s="1"/>
      <c r="H209" s="29"/>
      <c r="I209" s="12"/>
      <c r="J209" s="12"/>
      <c r="K209" s="1"/>
      <c r="L209" s="1"/>
      <c r="M209" s="1"/>
      <c r="N209" s="1"/>
    </row>
    <row r="210" spans="1:14" ht="14.45">
      <c r="A210" s="8" t="s">
        <v>390</v>
      </c>
      <c r="B210" t="s">
        <v>391</v>
      </c>
      <c r="C210" t="s">
        <v>392</v>
      </c>
      <c r="D210" s="25"/>
      <c r="E210" s="57" t="s">
        <v>393</v>
      </c>
      <c r="F210" s="53" t="s">
        <v>108</v>
      </c>
      <c r="G210" s="26"/>
      <c r="H210" s="54" t="s">
        <v>394</v>
      </c>
      <c r="I210" s="55" t="s">
        <v>395</v>
      </c>
      <c r="J210" s="55"/>
      <c r="K210" s="56"/>
      <c r="L210" s="56"/>
      <c r="M210" s="53"/>
      <c r="N210" s="53"/>
    </row>
    <row r="211" spans="1:14" ht="14.45">
      <c r="A211" s="8" t="s">
        <v>396</v>
      </c>
      <c r="B211" s="20"/>
      <c r="C211" t="s">
        <v>397</v>
      </c>
      <c r="D211" s="25"/>
      <c r="E211" s="57"/>
      <c r="F211" s="53"/>
      <c r="G211" s="26"/>
      <c r="H211" s="54"/>
      <c r="I211" s="55"/>
      <c r="J211" s="55"/>
      <c r="K211" s="56"/>
      <c r="L211" s="56"/>
      <c r="M211" s="53"/>
      <c r="N211" s="53"/>
    </row>
    <row r="212" spans="1:14" ht="14.45">
      <c r="A212" s="8" t="s">
        <v>398</v>
      </c>
      <c r="B212" s="20"/>
      <c r="C212" t="s">
        <v>399</v>
      </c>
      <c r="D212" s="25"/>
      <c r="E212" s="57"/>
      <c r="F212" s="53"/>
      <c r="G212" s="26"/>
      <c r="H212" s="54"/>
      <c r="I212" s="55"/>
      <c r="J212" s="55"/>
      <c r="K212" s="56"/>
      <c r="L212" s="56"/>
      <c r="M212" s="53"/>
      <c r="N212" s="53"/>
    </row>
    <row r="213" spans="1:14" ht="14.45">
      <c r="A213" s="8" t="s">
        <v>400</v>
      </c>
      <c r="B213" s="20"/>
      <c r="C213" t="s">
        <v>401</v>
      </c>
      <c r="D213" s="25"/>
      <c r="E213" s="57"/>
      <c r="F213" s="53"/>
      <c r="G213" s="26" t="s">
        <v>402</v>
      </c>
      <c r="H213" s="54"/>
      <c r="I213" s="55"/>
      <c r="J213" s="55"/>
      <c r="K213" s="56"/>
      <c r="L213" s="56"/>
      <c r="M213" s="53"/>
      <c r="N213" s="53"/>
    </row>
    <row r="214" spans="1:14" ht="14.45">
      <c r="A214" s="8" t="s">
        <v>403</v>
      </c>
      <c r="C214" t="s">
        <v>404</v>
      </c>
      <c r="E214" s="57"/>
      <c r="F214" s="53"/>
      <c r="G214" s="26"/>
      <c r="H214" s="54"/>
      <c r="I214" s="55"/>
      <c r="J214" s="55"/>
      <c r="K214" s="56"/>
      <c r="L214" s="56"/>
      <c r="M214" s="53"/>
      <c r="N214" s="53"/>
    </row>
    <row r="215" spans="1:14" ht="14.45">
      <c r="A215" s="8"/>
      <c r="E215" s="57"/>
      <c r="F215" s="53"/>
      <c r="G215" s="26"/>
      <c r="H215" s="54"/>
      <c r="I215" s="55"/>
      <c r="J215" s="55"/>
      <c r="K215" s="56"/>
      <c r="L215" s="56"/>
      <c r="M215" s="53"/>
      <c r="N215" s="53"/>
    </row>
    <row r="216" spans="1:14">
      <c r="A216" s="11"/>
      <c r="B216" s="7"/>
      <c r="C216" s="7"/>
      <c r="E216" s="57"/>
      <c r="F216" s="53"/>
      <c r="G216" s="26"/>
      <c r="H216" s="54"/>
      <c r="I216" s="55"/>
      <c r="J216" s="55"/>
      <c r="K216" s="56"/>
      <c r="L216" s="56"/>
      <c r="M216" s="53"/>
      <c r="N216" s="53"/>
    </row>
    <row r="217" spans="1:14" ht="14.45">
      <c r="A217" s="12"/>
      <c r="B217" s="1"/>
      <c r="C217" s="6"/>
      <c r="D217" s="6"/>
      <c r="E217" s="1"/>
      <c r="F217" s="1"/>
      <c r="G217" s="1"/>
      <c r="H217" s="12"/>
      <c r="I217" s="12"/>
      <c r="J217" s="12"/>
      <c r="K217" s="1"/>
      <c r="L217" s="1"/>
      <c r="M217" s="1"/>
      <c r="N217" s="1"/>
    </row>
    <row r="218" spans="1:14" ht="14.45">
      <c r="A218" s="49" t="s">
        <v>405</v>
      </c>
      <c r="B218" t="s">
        <v>406</v>
      </c>
      <c r="C218" t="s">
        <v>407</v>
      </c>
      <c r="E218" s="57" t="s">
        <v>408</v>
      </c>
      <c r="F218" s="53" t="s">
        <v>138</v>
      </c>
      <c r="G218" s="26"/>
      <c r="H218" s="55" t="s">
        <v>409</v>
      </c>
      <c r="I218" s="55" t="s">
        <v>410</v>
      </c>
      <c r="J218" s="55"/>
      <c r="K218" s="56"/>
      <c r="L218" s="56"/>
      <c r="M218" s="53"/>
      <c r="N218" s="53"/>
    </row>
    <row r="219" spans="1:14" ht="14.45">
      <c r="A219" s="8" t="s">
        <v>411</v>
      </c>
      <c r="C219" t="s">
        <v>412</v>
      </c>
      <c r="E219" s="57"/>
      <c r="F219" s="53"/>
      <c r="G219" s="26"/>
      <c r="H219" s="55"/>
      <c r="I219" s="55"/>
      <c r="J219" s="55"/>
      <c r="K219" s="56"/>
      <c r="L219" s="56"/>
      <c r="M219" s="53"/>
      <c r="N219" s="53"/>
    </row>
    <row r="220" spans="1:14" ht="14.45">
      <c r="A220" s="8" t="s">
        <v>413</v>
      </c>
      <c r="C220" t="s">
        <v>414</v>
      </c>
      <c r="E220" s="57"/>
      <c r="F220" s="53"/>
      <c r="G220" s="26"/>
      <c r="H220" s="55"/>
      <c r="I220" s="55"/>
      <c r="J220" s="55"/>
      <c r="K220" s="56"/>
      <c r="L220" s="56"/>
      <c r="M220" s="53"/>
      <c r="N220" s="53"/>
    </row>
    <row r="221" spans="1:14" ht="14.45">
      <c r="A221" s="8" t="s">
        <v>415</v>
      </c>
      <c r="C221" t="s">
        <v>416</v>
      </c>
      <c r="E221" s="57"/>
      <c r="F221" s="53"/>
      <c r="G221" s="26"/>
      <c r="H221" s="55"/>
      <c r="I221" s="55"/>
      <c r="J221" s="55"/>
      <c r="K221" s="56"/>
      <c r="L221" s="56"/>
      <c r="M221" s="53"/>
      <c r="N221" s="53"/>
    </row>
    <row r="222" spans="1:14" ht="14.45">
      <c r="A222" s="8" t="s">
        <v>417</v>
      </c>
      <c r="C222" t="s">
        <v>418</v>
      </c>
      <c r="E222" s="57"/>
      <c r="F222" s="53"/>
      <c r="G222" s="26"/>
      <c r="H222" s="55"/>
      <c r="I222" s="55"/>
      <c r="J222" s="55"/>
      <c r="K222" s="56"/>
      <c r="L222" s="56"/>
      <c r="M222" s="53"/>
      <c r="N222" s="53"/>
    </row>
    <row r="223" spans="1:14" ht="14.45">
      <c r="A223" s="8"/>
      <c r="E223" s="57"/>
      <c r="F223" s="53"/>
      <c r="G223" s="26"/>
      <c r="H223" s="55"/>
      <c r="I223" s="55"/>
      <c r="J223" s="55"/>
      <c r="K223" s="56"/>
      <c r="L223" s="56"/>
      <c r="M223" s="53"/>
      <c r="N223" s="53"/>
    </row>
    <row r="224" spans="1:14">
      <c r="A224" s="11"/>
      <c r="B224" s="7"/>
      <c r="C224" s="7"/>
      <c r="E224" s="57"/>
      <c r="F224" s="53"/>
      <c r="G224" s="26"/>
      <c r="H224" s="55"/>
      <c r="I224" s="55"/>
      <c r="J224" s="55"/>
      <c r="K224" s="56"/>
      <c r="L224" s="56"/>
      <c r="M224" s="53"/>
      <c r="N224" s="53"/>
    </row>
    <row r="225" spans="1:14" ht="14.45">
      <c r="A225" s="12"/>
      <c r="B225" s="1"/>
      <c r="C225" s="6"/>
      <c r="D225" s="6"/>
      <c r="E225" s="1"/>
      <c r="F225" s="1"/>
      <c r="G225" s="1"/>
      <c r="H225" s="29"/>
      <c r="I225" s="12"/>
      <c r="J225" s="12"/>
      <c r="K225" s="1"/>
      <c r="L225" s="1"/>
      <c r="M225" s="1"/>
      <c r="N225" s="1"/>
    </row>
    <row r="226" spans="1:14" ht="14.45">
      <c r="A226" s="8" t="s">
        <v>419</v>
      </c>
      <c r="B226" t="s">
        <v>420</v>
      </c>
      <c r="C226" t="s">
        <v>421</v>
      </c>
      <c r="D226" s="25"/>
      <c r="E226" s="57" t="s">
        <v>422</v>
      </c>
      <c r="F226" s="53" t="s">
        <v>182</v>
      </c>
      <c r="G226" s="26"/>
      <c r="H226" s="54" t="s">
        <v>423</v>
      </c>
      <c r="I226" s="55" t="s">
        <v>424</v>
      </c>
      <c r="J226" s="55"/>
      <c r="K226" s="56"/>
      <c r="L226" s="56"/>
      <c r="M226" s="53"/>
      <c r="N226" s="53"/>
    </row>
    <row r="227" spans="1:14" ht="14.45">
      <c r="A227" s="8" t="s">
        <v>425</v>
      </c>
      <c r="B227" s="20"/>
      <c r="C227" t="s">
        <v>426</v>
      </c>
      <c r="D227" s="25"/>
      <c r="E227" s="57"/>
      <c r="F227" s="53"/>
      <c r="G227" s="26"/>
      <c r="H227" s="54"/>
      <c r="I227" s="55"/>
      <c r="J227" s="55"/>
      <c r="K227" s="56"/>
      <c r="L227" s="56"/>
      <c r="M227" s="53"/>
      <c r="N227" s="53"/>
    </row>
    <row r="228" spans="1:14" ht="14.45">
      <c r="A228" s="8" t="s">
        <v>427</v>
      </c>
      <c r="B228" s="20"/>
      <c r="C228" t="s">
        <v>428</v>
      </c>
      <c r="D228" s="25"/>
      <c r="E228" s="57"/>
      <c r="F228" s="53"/>
      <c r="G228" s="26"/>
      <c r="H228" s="54"/>
      <c r="I228" s="55"/>
      <c r="J228" s="55"/>
      <c r="K228" s="56"/>
      <c r="L228" s="56"/>
      <c r="M228" s="53"/>
      <c r="N228" s="53"/>
    </row>
    <row r="229" spans="1:14" ht="14.45">
      <c r="A229" s="8" t="s">
        <v>429</v>
      </c>
      <c r="B229" s="27"/>
      <c r="C229" t="s">
        <v>430</v>
      </c>
      <c r="D229" s="25"/>
      <c r="E229" s="57"/>
      <c r="F229" s="53"/>
      <c r="G229" s="26"/>
      <c r="H229" s="54"/>
      <c r="I229" s="55"/>
      <c r="J229" s="55"/>
      <c r="K229" s="56"/>
      <c r="L229" s="56"/>
      <c r="M229" s="53"/>
      <c r="N229" s="53"/>
    </row>
    <row r="230" spans="1:14" ht="14.45">
      <c r="A230" s="8" t="s">
        <v>431</v>
      </c>
      <c r="B230" s="20"/>
      <c r="C230" t="s">
        <v>432</v>
      </c>
      <c r="D230" s="25"/>
      <c r="E230" s="57"/>
      <c r="F230" s="53"/>
      <c r="G230" s="26"/>
      <c r="H230" s="54"/>
      <c r="I230" s="55"/>
      <c r="J230" s="55"/>
      <c r="K230" s="56"/>
      <c r="L230" s="56"/>
      <c r="M230" s="53"/>
      <c r="N230" s="53"/>
    </row>
    <row r="231" spans="1:14" ht="14.45">
      <c r="A231" s="8" t="s">
        <v>433</v>
      </c>
      <c r="B231" s="20"/>
      <c r="C231" t="s">
        <v>434</v>
      </c>
      <c r="D231" s="25"/>
      <c r="E231" s="57"/>
      <c r="F231" s="53"/>
      <c r="G231" s="26"/>
      <c r="H231" s="54"/>
      <c r="I231" s="55"/>
      <c r="J231" s="55"/>
      <c r="K231" s="56"/>
      <c r="L231" s="56"/>
      <c r="M231" s="53"/>
      <c r="N231" s="53"/>
    </row>
    <row r="232" spans="1:14" ht="14.45">
      <c r="E232" s="57"/>
      <c r="F232" s="53"/>
      <c r="G232" s="26"/>
      <c r="H232" s="54"/>
      <c r="I232" s="55"/>
      <c r="J232" s="55"/>
      <c r="K232" s="56"/>
      <c r="L232" s="56"/>
      <c r="M232" s="53"/>
      <c r="N232" s="53"/>
    </row>
    <row r="233" spans="1:14" ht="14.45">
      <c r="A233" s="12"/>
      <c r="B233" s="1"/>
      <c r="C233" s="6"/>
      <c r="D233" s="6"/>
      <c r="E233" s="1"/>
      <c r="F233" s="1"/>
      <c r="G233" s="1"/>
      <c r="H233" s="29"/>
      <c r="I233" s="12"/>
      <c r="J233" s="12"/>
      <c r="K233" s="1"/>
      <c r="L233" s="1"/>
      <c r="M233" s="1"/>
      <c r="N233" s="1"/>
    </row>
    <row r="234" spans="1:14" ht="14.45">
      <c r="A234" s="49" t="s">
        <v>435</v>
      </c>
      <c r="B234" t="s">
        <v>436</v>
      </c>
      <c r="C234" t="s">
        <v>437</v>
      </c>
      <c r="D234" s="25"/>
      <c r="E234" s="57" t="s">
        <v>438</v>
      </c>
      <c r="F234" s="53" t="s">
        <v>61</v>
      </c>
      <c r="G234" s="26"/>
      <c r="H234" s="54" t="s">
        <v>439</v>
      </c>
      <c r="I234" s="55"/>
      <c r="J234" s="55"/>
      <c r="K234" s="56"/>
      <c r="L234" s="56"/>
      <c r="M234" s="53"/>
      <c r="N234" s="53"/>
    </row>
    <row r="235" spans="1:14" ht="14.45">
      <c r="A235" s="20" t="s">
        <v>440</v>
      </c>
      <c r="B235" s="20"/>
      <c r="C235" t="s">
        <v>441</v>
      </c>
      <c r="D235" s="25"/>
      <c r="E235" s="57"/>
      <c r="F235" s="53"/>
      <c r="G235" s="26"/>
      <c r="H235" s="54"/>
      <c r="I235" s="55"/>
      <c r="J235" s="55"/>
      <c r="K235" s="56"/>
      <c r="L235" s="56"/>
      <c r="M235" s="53"/>
      <c r="N235" s="53"/>
    </row>
    <row r="236" spans="1:14" ht="14.45">
      <c r="A236" s="8" t="s">
        <v>442</v>
      </c>
      <c r="B236" s="20"/>
      <c r="C236" t="s">
        <v>443</v>
      </c>
      <c r="D236" s="25"/>
      <c r="E236" s="57"/>
      <c r="F236" s="53"/>
      <c r="G236" s="26"/>
      <c r="H236" s="54"/>
      <c r="I236" s="55"/>
      <c r="J236" s="55"/>
      <c r="K236" s="56"/>
      <c r="L236" s="56"/>
      <c r="M236" s="53"/>
      <c r="N236" s="53"/>
    </row>
    <row r="237" spans="1:14" ht="14.45">
      <c r="B237" s="20"/>
      <c r="C237" s="20"/>
      <c r="D237" s="25"/>
      <c r="E237" s="57"/>
      <c r="F237" s="53"/>
      <c r="G237" s="26"/>
      <c r="H237" s="54"/>
      <c r="I237" s="55"/>
      <c r="J237" s="55"/>
      <c r="K237" s="56"/>
      <c r="L237" s="56"/>
      <c r="M237" s="53"/>
      <c r="N237" s="53"/>
    </row>
    <row r="238" spans="1:14" ht="14.45">
      <c r="A238" s="21"/>
      <c r="B238" s="20"/>
      <c r="C238" s="20"/>
      <c r="D238" s="25"/>
      <c r="E238" s="57"/>
      <c r="F238" s="53"/>
      <c r="G238" s="26"/>
      <c r="H238" s="54"/>
      <c r="I238" s="55"/>
      <c r="J238" s="55"/>
      <c r="K238" s="56"/>
      <c r="L238" s="56"/>
      <c r="M238" s="53"/>
      <c r="N238" s="53"/>
    </row>
    <row r="239" spans="1:14" ht="14.45">
      <c r="E239" s="57"/>
      <c r="F239" s="53"/>
      <c r="G239" s="26"/>
      <c r="H239" s="54"/>
      <c r="I239" s="55"/>
      <c r="J239" s="55"/>
      <c r="K239" s="56"/>
      <c r="L239" s="56"/>
      <c r="M239" s="53"/>
      <c r="N239" s="53"/>
    </row>
    <row r="240" spans="1:14" ht="14.45">
      <c r="E240" s="57"/>
      <c r="F240" s="53"/>
      <c r="G240" s="26"/>
      <c r="H240" s="54"/>
      <c r="I240" s="55"/>
      <c r="J240" s="55"/>
      <c r="K240" s="56"/>
      <c r="L240" s="56"/>
      <c r="M240" s="53"/>
      <c r="N240" s="53"/>
    </row>
    <row r="241" spans="1:14" ht="14.45">
      <c r="A241" s="12"/>
      <c r="B241" s="1"/>
      <c r="C241" s="6"/>
      <c r="D241" s="6"/>
      <c r="E241" s="1"/>
      <c r="F241" s="1"/>
      <c r="G241" s="1"/>
      <c r="H241" s="29"/>
      <c r="I241" s="12"/>
      <c r="J241" s="12"/>
      <c r="K241" s="1"/>
      <c r="L241" s="1"/>
      <c r="M241" s="1"/>
      <c r="N241" s="1"/>
    </row>
    <row r="242" spans="1:14" ht="14.45">
      <c r="A242" s="8" t="s">
        <v>444</v>
      </c>
      <c r="B242" t="s">
        <v>445</v>
      </c>
      <c r="C242" t="s">
        <v>446</v>
      </c>
      <c r="D242" s="25"/>
      <c r="E242" s="57" t="s">
        <v>447</v>
      </c>
      <c r="F242" s="53" t="s">
        <v>31</v>
      </c>
      <c r="G242" s="26"/>
      <c r="H242" s="54" t="s">
        <v>448</v>
      </c>
      <c r="I242" s="55" t="s">
        <v>449</v>
      </c>
      <c r="J242" s="55"/>
      <c r="K242" s="56"/>
      <c r="L242" s="56"/>
      <c r="M242" s="53"/>
      <c r="N242" s="53"/>
    </row>
    <row r="243" spans="1:14" ht="14.45">
      <c r="A243" s="8" t="s">
        <v>450</v>
      </c>
      <c r="B243" s="20"/>
      <c r="C243" t="s">
        <v>451</v>
      </c>
      <c r="D243" s="25"/>
      <c r="E243" s="57"/>
      <c r="F243" s="53"/>
      <c r="G243" s="26"/>
      <c r="H243" s="54"/>
      <c r="I243" s="55"/>
      <c r="J243" s="55"/>
      <c r="K243" s="56"/>
      <c r="L243" s="56"/>
      <c r="M243" s="53"/>
      <c r="N243" s="53"/>
    </row>
    <row r="244" spans="1:14" ht="14.45">
      <c r="A244" s="8" t="s">
        <v>452</v>
      </c>
      <c r="B244" s="20"/>
      <c r="C244" t="s">
        <v>453</v>
      </c>
      <c r="D244" s="25"/>
      <c r="E244" s="57"/>
      <c r="F244" s="53"/>
      <c r="G244" s="26"/>
      <c r="H244" s="54"/>
      <c r="I244" s="55"/>
      <c r="J244" s="55"/>
      <c r="K244" s="56"/>
      <c r="L244" s="56"/>
      <c r="M244" s="53"/>
      <c r="N244" s="53"/>
    </row>
    <row r="245" spans="1:14" ht="14.45">
      <c r="A245" s="8" t="s">
        <v>454</v>
      </c>
      <c r="B245" s="20"/>
      <c r="C245" t="s">
        <v>455</v>
      </c>
      <c r="D245" s="25"/>
      <c r="E245" s="57"/>
      <c r="F245" s="53"/>
      <c r="G245" s="26"/>
      <c r="H245" s="54"/>
      <c r="I245" s="55"/>
      <c r="J245" s="55"/>
      <c r="K245" s="56"/>
      <c r="L245" s="56"/>
      <c r="M245" s="53"/>
      <c r="N245" s="53"/>
    </row>
    <row r="246" spans="1:14" ht="14.45">
      <c r="A246" s="8" t="s">
        <v>456</v>
      </c>
      <c r="B246" s="23"/>
      <c r="C246" t="s">
        <v>457</v>
      </c>
      <c r="D246" s="25"/>
      <c r="E246" s="57"/>
      <c r="F246" s="53"/>
      <c r="G246" s="26"/>
      <c r="H246" s="54"/>
      <c r="I246" s="55"/>
      <c r="J246" s="55"/>
      <c r="K246" s="56"/>
      <c r="L246" s="56"/>
      <c r="M246" s="53"/>
      <c r="N246" s="53"/>
    </row>
    <row r="247" spans="1:14" ht="14.45">
      <c r="A247" s="8"/>
      <c r="B247" s="20"/>
      <c r="C247" s="20"/>
      <c r="D247" s="25"/>
      <c r="E247" s="57"/>
      <c r="F247" s="53"/>
      <c r="G247" s="26"/>
      <c r="H247" s="54"/>
      <c r="I247" s="55"/>
      <c r="J247" s="55"/>
      <c r="K247" s="56"/>
      <c r="L247" s="56"/>
      <c r="M247" s="53"/>
      <c r="N247" s="53"/>
    </row>
    <row r="248" spans="1:14">
      <c r="A248" s="11"/>
      <c r="B248" s="7"/>
      <c r="C248" s="7"/>
      <c r="E248" s="57"/>
      <c r="F248" s="53"/>
      <c r="G248" s="26"/>
      <c r="H248" s="54"/>
      <c r="I248" s="55"/>
      <c r="J248" s="55"/>
      <c r="K248" s="56"/>
      <c r="L248" s="56"/>
      <c r="M248" s="53"/>
      <c r="N248" s="53"/>
    </row>
    <row r="249" spans="1:14" ht="14.45">
      <c r="A249" s="12"/>
      <c r="B249" s="1"/>
      <c r="C249" s="6"/>
      <c r="D249" s="6"/>
      <c r="E249" s="1"/>
      <c r="F249" s="1"/>
      <c r="G249" s="1"/>
      <c r="H249" s="29"/>
      <c r="I249" s="12"/>
      <c r="J249" s="12"/>
      <c r="K249" s="1"/>
      <c r="L249" s="1"/>
      <c r="M249" s="1"/>
      <c r="N249" s="1"/>
    </row>
    <row r="250" spans="1:14" ht="14.45">
      <c r="A250" s="8" t="s">
        <v>458</v>
      </c>
      <c r="B250" t="s">
        <v>459</v>
      </c>
      <c r="C250" t="s">
        <v>460</v>
      </c>
      <c r="D250" s="25"/>
      <c r="E250" s="57" t="s">
        <v>461</v>
      </c>
      <c r="F250" s="53" t="s">
        <v>123</v>
      </c>
      <c r="G250" s="26" t="s">
        <v>462</v>
      </c>
      <c r="H250" s="54" t="s">
        <v>463</v>
      </c>
      <c r="I250" s="55" t="s">
        <v>464</v>
      </c>
      <c r="J250" s="55"/>
      <c r="K250" s="56"/>
      <c r="L250" s="56"/>
      <c r="M250" s="53"/>
      <c r="N250" s="53"/>
    </row>
    <row r="251" spans="1:14" ht="14.45">
      <c r="A251" s="8" t="s">
        <v>465</v>
      </c>
      <c r="B251" s="20"/>
      <c r="C251" t="s">
        <v>466</v>
      </c>
      <c r="D251" s="25"/>
      <c r="E251" s="57"/>
      <c r="F251" s="53"/>
      <c r="G251" s="26" t="s">
        <v>467</v>
      </c>
      <c r="H251" s="54"/>
      <c r="I251" s="55"/>
      <c r="J251" s="55"/>
      <c r="K251" s="56"/>
      <c r="L251" s="56"/>
      <c r="M251" s="53"/>
      <c r="N251" s="53"/>
    </row>
    <row r="252" spans="1:14" ht="14.45">
      <c r="A252" s="8" t="s">
        <v>468</v>
      </c>
      <c r="B252" s="20"/>
      <c r="C252" t="s">
        <v>469</v>
      </c>
      <c r="D252" s="25"/>
      <c r="E252" s="57"/>
      <c r="F252" s="53"/>
      <c r="G252" s="26"/>
      <c r="H252" s="54"/>
      <c r="I252" s="55"/>
      <c r="J252" s="55"/>
      <c r="K252" s="56"/>
      <c r="L252" s="56"/>
      <c r="M252" s="53"/>
      <c r="N252" s="53"/>
    </row>
    <row r="253" spans="1:14" ht="14.45">
      <c r="A253" s="8" t="s">
        <v>470</v>
      </c>
      <c r="B253" s="20"/>
      <c r="C253" t="s">
        <v>471</v>
      </c>
      <c r="D253" s="25"/>
      <c r="E253" s="57"/>
      <c r="F253" s="53"/>
      <c r="G253" s="26"/>
      <c r="H253" s="54"/>
      <c r="I253" s="55"/>
      <c r="J253" s="55"/>
      <c r="K253" s="56"/>
      <c r="L253" s="56"/>
      <c r="M253" s="53"/>
      <c r="N253" s="53"/>
    </row>
    <row r="254" spans="1:14" ht="14.45">
      <c r="A254" s="8" t="s">
        <v>472</v>
      </c>
      <c r="B254" s="20"/>
      <c r="C254" t="s">
        <v>473</v>
      </c>
      <c r="D254" s="25"/>
      <c r="E254" s="57"/>
      <c r="F254" s="53"/>
      <c r="G254" s="26"/>
      <c r="H254" s="54"/>
      <c r="I254" s="55"/>
      <c r="J254" s="55"/>
      <c r="K254" s="56"/>
      <c r="L254" s="56"/>
      <c r="M254" s="53"/>
      <c r="N254" s="53"/>
    </row>
    <row r="255" spans="1:14" ht="14.45">
      <c r="A255" s="8"/>
      <c r="B255" s="20"/>
      <c r="C255" s="20"/>
      <c r="D255" s="25"/>
      <c r="E255" s="57"/>
      <c r="F255" s="53"/>
      <c r="G255" s="26"/>
      <c r="H255" s="54"/>
      <c r="I255" s="55"/>
      <c r="J255" s="55"/>
      <c r="K255" s="56"/>
      <c r="L255" s="56"/>
      <c r="M255" s="53"/>
      <c r="N255" s="53"/>
    </row>
    <row r="256" spans="1:14">
      <c r="A256" s="11"/>
      <c r="B256" s="7"/>
      <c r="C256" s="7"/>
      <c r="E256" s="57"/>
      <c r="F256" s="53"/>
      <c r="G256" s="26"/>
      <c r="H256" s="54"/>
      <c r="I256" s="55"/>
      <c r="J256" s="55"/>
      <c r="K256" s="56"/>
      <c r="L256" s="56"/>
      <c r="M256" s="53"/>
      <c r="N256" s="53"/>
    </row>
    <row r="257" spans="1:14" ht="14.45">
      <c r="A257" s="12"/>
      <c r="B257" s="1"/>
      <c r="C257" s="6"/>
      <c r="D257" s="6"/>
      <c r="E257" s="1"/>
      <c r="F257" s="1"/>
      <c r="G257" s="1"/>
      <c r="H257" s="29"/>
      <c r="I257" s="12"/>
      <c r="J257" s="12"/>
      <c r="K257" s="1"/>
      <c r="L257" s="1"/>
      <c r="M257" s="1"/>
      <c r="N257" s="1"/>
    </row>
    <row r="258" spans="1:14" ht="14.45">
      <c r="A258" s="8" t="s">
        <v>474</v>
      </c>
      <c r="B258" t="s">
        <v>475</v>
      </c>
      <c r="C258" t="s">
        <v>476</v>
      </c>
      <c r="D258" s="25"/>
      <c r="E258" s="57" t="s">
        <v>477</v>
      </c>
      <c r="F258" s="53" t="s">
        <v>342</v>
      </c>
      <c r="G258" s="26" t="s">
        <v>478</v>
      </c>
      <c r="H258" s="54" t="s">
        <v>479</v>
      </c>
      <c r="I258" s="55" t="s">
        <v>480</v>
      </c>
      <c r="J258" s="55"/>
      <c r="K258" s="56"/>
      <c r="L258" s="56"/>
      <c r="M258" s="53"/>
      <c r="N258" s="53"/>
    </row>
    <row r="259" spans="1:14" ht="14.45">
      <c r="A259" s="8" t="s">
        <v>481</v>
      </c>
      <c r="B259" s="20"/>
      <c r="C259" t="s">
        <v>482</v>
      </c>
      <c r="D259" s="25"/>
      <c r="E259" s="57"/>
      <c r="F259" s="53"/>
      <c r="G259" s="26"/>
      <c r="H259" s="54"/>
      <c r="I259" s="55"/>
      <c r="J259" s="55"/>
      <c r="K259" s="56"/>
      <c r="L259" s="56"/>
      <c r="M259" s="53"/>
      <c r="N259" s="53"/>
    </row>
    <row r="260" spans="1:14" ht="14.45">
      <c r="A260" s="8" t="s">
        <v>483</v>
      </c>
      <c r="B260" s="20"/>
      <c r="C260" t="s">
        <v>484</v>
      </c>
      <c r="D260" s="25"/>
      <c r="E260" s="57"/>
      <c r="F260" s="53"/>
      <c r="G260" s="26"/>
      <c r="H260" s="54"/>
      <c r="I260" s="55"/>
      <c r="J260" s="55"/>
      <c r="K260" s="56"/>
      <c r="L260" s="56"/>
      <c r="M260" s="53"/>
      <c r="N260" s="53"/>
    </row>
    <row r="261" spans="1:14" ht="14.45">
      <c r="A261" s="8" t="s">
        <v>485</v>
      </c>
      <c r="B261" s="20"/>
      <c r="C261" t="s">
        <v>486</v>
      </c>
      <c r="D261" s="25"/>
      <c r="E261" s="57"/>
      <c r="F261" s="53"/>
      <c r="G261" s="26"/>
      <c r="H261" s="54"/>
      <c r="I261" s="55"/>
      <c r="J261" s="55"/>
      <c r="K261" s="56"/>
      <c r="L261" s="56"/>
      <c r="M261" s="53"/>
      <c r="N261" s="53"/>
    </row>
    <row r="262" spans="1:14" ht="14.45">
      <c r="A262" s="20" t="s">
        <v>487</v>
      </c>
      <c r="B262" s="23"/>
      <c r="C262" t="s">
        <v>488</v>
      </c>
      <c r="D262" s="25"/>
      <c r="E262" s="57"/>
      <c r="F262" s="53"/>
      <c r="G262" s="26"/>
      <c r="H262" s="54"/>
      <c r="I262" s="55"/>
      <c r="J262" s="55"/>
      <c r="K262" s="56"/>
      <c r="L262" s="56"/>
      <c r="M262" s="53"/>
      <c r="N262" s="53"/>
    </row>
    <row r="263" spans="1:14" ht="14.45">
      <c r="A263" s="20" t="s">
        <v>489</v>
      </c>
      <c r="B263" s="20"/>
      <c r="C263" t="s">
        <v>490</v>
      </c>
      <c r="D263" s="25"/>
      <c r="E263" s="57"/>
      <c r="F263" s="53"/>
      <c r="G263" s="26"/>
      <c r="H263" s="54"/>
      <c r="I263" s="55"/>
      <c r="J263" s="55"/>
      <c r="K263" s="56"/>
      <c r="L263" s="56"/>
      <c r="M263" s="53"/>
      <c r="N263" s="53"/>
    </row>
    <row r="264" spans="1:14">
      <c r="A264" s="11"/>
      <c r="B264" s="7"/>
      <c r="C264" s="7"/>
      <c r="E264" s="57"/>
      <c r="F264" s="53"/>
      <c r="G264" s="26"/>
      <c r="H264" s="54"/>
      <c r="I264" s="55"/>
      <c r="J264" s="55"/>
      <c r="K264" s="56"/>
      <c r="L264" s="56"/>
      <c r="M264" s="53"/>
      <c r="N264" s="53"/>
    </row>
    <row r="265" spans="1:14" ht="14.45">
      <c r="A265" s="12"/>
      <c r="B265" s="1"/>
      <c r="C265" s="6"/>
      <c r="D265" s="6"/>
      <c r="E265" s="1"/>
      <c r="F265" s="1"/>
      <c r="G265" s="1"/>
      <c r="H265" s="29"/>
      <c r="I265" s="12"/>
      <c r="J265" s="12"/>
      <c r="K265" s="1"/>
      <c r="L265" s="1"/>
      <c r="M265" s="1"/>
      <c r="N265" s="1"/>
    </row>
    <row r="266" spans="1:14" ht="14.45">
      <c r="A266" s="8" t="s">
        <v>491</v>
      </c>
      <c r="B266" t="s">
        <v>492</v>
      </c>
      <c r="C266" t="s">
        <v>493</v>
      </c>
      <c r="D266" s="33"/>
      <c r="E266" s="57" t="s">
        <v>494</v>
      </c>
      <c r="F266" s="53" t="s">
        <v>252</v>
      </c>
      <c r="G266" s="26"/>
      <c r="H266" s="55" t="s">
        <v>495</v>
      </c>
      <c r="I266" s="55"/>
      <c r="J266" s="55"/>
      <c r="K266" s="56"/>
      <c r="L266" s="56"/>
      <c r="M266" s="53"/>
      <c r="N266" s="53"/>
    </row>
    <row r="267" spans="1:14" ht="14.45">
      <c r="A267" s="8" t="s">
        <v>496</v>
      </c>
      <c r="B267" s="32"/>
      <c r="C267" t="s">
        <v>497</v>
      </c>
      <c r="D267" s="33"/>
      <c r="E267" s="57"/>
      <c r="F267" s="53"/>
      <c r="G267" s="26"/>
      <c r="H267" s="55"/>
      <c r="I267" s="55"/>
      <c r="J267" s="55"/>
      <c r="K267" s="56"/>
      <c r="L267" s="56"/>
      <c r="M267" s="53"/>
      <c r="N267" s="53"/>
    </row>
    <row r="268" spans="1:14" ht="14.45">
      <c r="A268" s="8" t="s">
        <v>498</v>
      </c>
      <c r="B268" s="32"/>
      <c r="C268" t="s">
        <v>499</v>
      </c>
      <c r="D268" s="33"/>
      <c r="E268" s="57"/>
      <c r="F268" s="53"/>
      <c r="G268" s="26"/>
      <c r="H268" s="55"/>
      <c r="I268" s="55"/>
      <c r="J268" s="55"/>
      <c r="K268" s="56"/>
      <c r="L268" s="56"/>
      <c r="M268" s="53"/>
      <c r="N268" s="53"/>
    </row>
    <row r="269" spans="1:14" ht="14.45">
      <c r="A269" s="8" t="s">
        <v>500</v>
      </c>
      <c r="B269" s="32"/>
      <c r="C269" t="s">
        <v>501</v>
      </c>
      <c r="D269" s="33"/>
      <c r="E269" s="57"/>
      <c r="F269" s="53"/>
      <c r="G269" s="26"/>
      <c r="H269" s="55"/>
      <c r="I269" s="55"/>
      <c r="J269" s="55"/>
      <c r="K269" s="56"/>
      <c r="L269" s="56"/>
      <c r="M269" s="53"/>
      <c r="N269" s="53"/>
    </row>
    <row r="270" spans="1:14" ht="14.45">
      <c r="A270" s="8" t="s">
        <v>502</v>
      </c>
      <c r="B270" s="39"/>
      <c r="C270" t="s">
        <v>503</v>
      </c>
      <c r="D270" s="33"/>
      <c r="E270" s="57"/>
      <c r="F270" s="53"/>
      <c r="G270" s="26"/>
      <c r="H270" s="55"/>
      <c r="I270" s="55"/>
      <c r="J270" s="55"/>
      <c r="K270" s="56"/>
      <c r="L270" s="56"/>
      <c r="M270" s="53"/>
      <c r="N270" s="53"/>
    </row>
    <row r="271" spans="1:14" ht="14.45">
      <c r="A271" s="31"/>
      <c r="B271" s="32"/>
      <c r="C271" s="32"/>
      <c r="D271" s="33"/>
      <c r="E271" s="57"/>
      <c r="F271" s="53"/>
      <c r="G271" s="26"/>
      <c r="H271" s="55"/>
      <c r="I271" s="55"/>
      <c r="J271" s="55"/>
      <c r="K271" s="56"/>
      <c r="L271" s="56"/>
      <c r="M271" s="53"/>
      <c r="N271" s="53"/>
    </row>
    <row r="272" spans="1:14">
      <c r="A272" s="50"/>
      <c r="B272" s="36"/>
      <c r="C272" s="36"/>
      <c r="D272" s="35"/>
      <c r="E272" s="57"/>
      <c r="F272" s="53"/>
      <c r="G272" s="26"/>
      <c r="H272" s="55"/>
      <c r="I272" s="55"/>
      <c r="J272" s="55"/>
      <c r="K272" s="56"/>
      <c r="L272" s="56"/>
      <c r="M272" s="53"/>
      <c r="N272" s="53"/>
    </row>
    <row r="273" spans="1:14" ht="14.45">
      <c r="A273" s="12"/>
      <c r="B273" s="1"/>
      <c r="C273" s="6"/>
      <c r="D273" s="6"/>
      <c r="E273" s="1"/>
      <c r="F273" s="1"/>
      <c r="G273" s="1"/>
      <c r="H273" s="29"/>
      <c r="I273" s="12"/>
      <c r="J273" s="12"/>
      <c r="K273" s="1"/>
      <c r="L273" s="1"/>
      <c r="M273" s="1"/>
      <c r="N273" s="1"/>
    </row>
    <row r="274" spans="1:14" ht="14.45">
      <c r="A274" s="8" t="s">
        <v>504</v>
      </c>
      <c r="B274" t="s">
        <v>505</v>
      </c>
      <c r="C274" t="s">
        <v>506</v>
      </c>
      <c r="D274" s="25"/>
      <c r="E274" s="57" t="s">
        <v>507</v>
      </c>
      <c r="F274" s="53" t="s">
        <v>61</v>
      </c>
      <c r="G274" s="26"/>
      <c r="H274" s="54" t="s">
        <v>508</v>
      </c>
      <c r="I274" s="55"/>
      <c r="J274" s="55"/>
      <c r="K274" s="56"/>
      <c r="L274" s="56"/>
      <c r="M274" s="53"/>
      <c r="N274" s="53"/>
    </row>
    <row r="275" spans="1:14" ht="14.45">
      <c r="A275" s="8" t="s">
        <v>509</v>
      </c>
      <c r="B275" s="20"/>
      <c r="C275" t="s">
        <v>510</v>
      </c>
      <c r="D275" s="25"/>
      <c r="E275" s="57"/>
      <c r="F275" s="53"/>
      <c r="G275" s="26"/>
      <c r="H275" s="54"/>
      <c r="I275" s="55"/>
      <c r="J275" s="55"/>
      <c r="K275" s="56"/>
      <c r="L275" s="56"/>
      <c r="M275" s="53"/>
      <c r="N275" s="53"/>
    </row>
    <row r="276" spans="1:14" ht="14.45">
      <c r="A276" s="8" t="s">
        <v>511</v>
      </c>
      <c r="B276" s="20"/>
      <c r="C276" t="s">
        <v>512</v>
      </c>
      <c r="D276" s="25"/>
      <c r="E276" s="57"/>
      <c r="F276" s="53"/>
      <c r="G276" s="26"/>
      <c r="H276" s="54"/>
      <c r="I276" s="55"/>
      <c r="J276" s="55"/>
      <c r="K276" s="56"/>
      <c r="L276" s="56"/>
      <c r="M276" s="53"/>
      <c r="N276" s="53"/>
    </row>
    <row r="277" spans="1:14" ht="14.45">
      <c r="A277" s="8" t="s">
        <v>513</v>
      </c>
      <c r="B277" s="20"/>
      <c r="C277" t="s">
        <v>514</v>
      </c>
      <c r="D277" s="25"/>
      <c r="E277" s="57"/>
      <c r="F277" s="53"/>
      <c r="G277" s="26"/>
      <c r="H277" s="54"/>
      <c r="I277" s="55"/>
      <c r="J277" s="55"/>
      <c r="K277" s="56"/>
      <c r="L277" s="56"/>
      <c r="M277" s="53"/>
      <c r="N277" s="53"/>
    </row>
    <row r="278" spans="1:14" ht="14.45">
      <c r="A278" s="8" t="s">
        <v>515</v>
      </c>
      <c r="B278" s="20"/>
      <c r="C278" t="s">
        <v>516</v>
      </c>
      <c r="D278" s="25"/>
      <c r="E278" s="57"/>
      <c r="F278" s="53"/>
      <c r="G278" s="26"/>
      <c r="H278" s="54"/>
      <c r="I278" s="55"/>
      <c r="J278" s="55"/>
      <c r="K278" s="56"/>
      <c r="L278" s="56"/>
      <c r="M278" s="53"/>
      <c r="N278" s="53"/>
    </row>
    <row r="279" spans="1:14" ht="14.45">
      <c r="A279" s="8" t="s">
        <v>517</v>
      </c>
      <c r="C279" t="s">
        <v>518</v>
      </c>
      <c r="E279" s="57"/>
      <c r="F279" s="53"/>
      <c r="G279" s="26"/>
      <c r="H279" s="54"/>
      <c r="I279" s="55"/>
      <c r="J279" s="55"/>
      <c r="K279" s="56"/>
      <c r="L279" s="56"/>
      <c r="M279" s="53"/>
      <c r="N279" s="53"/>
    </row>
    <row r="280" spans="1:14">
      <c r="A280" s="11"/>
      <c r="B280" s="7"/>
      <c r="C280" s="7"/>
      <c r="E280" s="57"/>
      <c r="F280" s="53"/>
      <c r="G280" s="26"/>
      <c r="H280" s="54"/>
      <c r="I280" s="55"/>
      <c r="J280" s="55"/>
      <c r="K280" s="56"/>
      <c r="L280" s="56"/>
      <c r="M280" s="53"/>
      <c r="N280" s="53"/>
    </row>
    <row r="281" spans="1:14" ht="14.45">
      <c r="A281" s="12"/>
      <c r="B281" s="1"/>
      <c r="C281" s="6"/>
      <c r="D281" s="6"/>
      <c r="E281" s="1"/>
      <c r="F281" s="1"/>
      <c r="G281" s="1"/>
      <c r="H281" s="29"/>
      <c r="I281" s="12"/>
      <c r="J281" s="12"/>
      <c r="K281" s="1"/>
      <c r="L281" s="1"/>
      <c r="M281" s="1"/>
      <c r="N281" s="1"/>
    </row>
    <row r="282" spans="1:14" ht="14.45">
      <c r="A282" s="8" t="s">
        <v>519</v>
      </c>
      <c r="B282" t="s">
        <v>520</v>
      </c>
      <c r="C282" t="s">
        <v>521</v>
      </c>
      <c r="D282" s="25"/>
      <c r="E282" s="57" t="s">
        <v>522</v>
      </c>
      <c r="F282" s="53" t="s">
        <v>18</v>
      </c>
      <c r="G282" s="26"/>
      <c r="H282" s="54" t="s">
        <v>523</v>
      </c>
      <c r="I282" s="55" t="s">
        <v>524</v>
      </c>
      <c r="J282" s="55"/>
      <c r="K282" s="56"/>
      <c r="L282" s="56"/>
      <c r="M282" s="53"/>
      <c r="N282" s="53"/>
    </row>
    <row r="283" spans="1:14" ht="14.45">
      <c r="A283" s="8" t="s">
        <v>525</v>
      </c>
      <c r="B283" s="20"/>
      <c r="C283" t="s">
        <v>526</v>
      </c>
      <c r="D283" s="25"/>
      <c r="E283" s="57"/>
      <c r="F283" s="53"/>
      <c r="G283" s="26"/>
      <c r="H283" s="54"/>
      <c r="I283" s="55"/>
      <c r="J283" s="55"/>
      <c r="K283" s="56"/>
      <c r="L283" s="56"/>
      <c r="M283" s="53"/>
      <c r="N283" s="53"/>
    </row>
    <row r="284" spans="1:14" ht="14.45">
      <c r="A284" s="8" t="s">
        <v>527</v>
      </c>
      <c r="C284" t="s">
        <v>528</v>
      </c>
      <c r="E284" s="57"/>
      <c r="F284" s="53"/>
      <c r="G284" s="26"/>
      <c r="H284" s="54"/>
      <c r="I284" s="55"/>
      <c r="J284" s="55"/>
      <c r="K284" s="56"/>
      <c r="L284" s="56"/>
      <c r="M284" s="53"/>
      <c r="N284" s="53"/>
    </row>
    <row r="285" spans="1:14" ht="14.45">
      <c r="A285" s="8" t="s">
        <v>529</v>
      </c>
      <c r="C285" t="s">
        <v>530</v>
      </c>
      <c r="E285" s="57"/>
      <c r="F285" s="53"/>
      <c r="G285" s="26"/>
      <c r="H285" s="54"/>
      <c r="I285" s="55"/>
      <c r="J285" s="55"/>
      <c r="K285" s="56"/>
      <c r="L285" s="56"/>
      <c r="M285" s="53"/>
      <c r="N285" s="53"/>
    </row>
    <row r="286" spans="1:14" ht="14.45">
      <c r="A286" s="8" t="s">
        <v>531</v>
      </c>
      <c r="C286" t="s">
        <v>532</v>
      </c>
      <c r="E286" s="57"/>
      <c r="F286" s="53"/>
      <c r="G286" s="26"/>
      <c r="H286" s="54"/>
      <c r="I286" s="55"/>
      <c r="J286" s="55"/>
      <c r="K286" s="56"/>
      <c r="L286" s="56"/>
      <c r="M286" s="53"/>
      <c r="N286" s="53"/>
    </row>
    <row r="287" spans="1:14" ht="14.45">
      <c r="A287" s="8" t="s">
        <v>533</v>
      </c>
      <c r="C287" t="s">
        <v>534</v>
      </c>
      <c r="E287" s="57"/>
      <c r="F287" s="53"/>
      <c r="G287" s="26"/>
      <c r="H287" s="54"/>
      <c r="I287" s="55"/>
      <c r="J287" s="55"/>
      <c r="K287" s="56"/>
      <c r="L287" s="56"/>
      <c r="M287" s="53"/>
      <c r="N287" s="53"/>
    </row>
    <row r="288" spans="1:14">
      <c r="A288" s="11"/>
      <c r="B288" s="7"/>
      <c r="C288" s="7"/>
      <c r="E288" s="57"/>
      <c r="F288" s="53"/>
      <c r="G288" s="26"/>
      <c r="H288" s="54"/>
      <c r="I288" s="55"/>
      <c r="J288" s="55"/>
      <c r="K288" s="56"/>
      <c r="L288" s="56"/>
      <c r="M288" s="53"/>
      <c r="N288" s="53"/>
    </row>
    <row r="289" spans="1:14" ht="14.45">
      <c r="A289" s="12"/>
      <c r="B289" s="1"/>
      <c r="C289" s="6"/>
      <c r="D289" s="6"/>
      <c r="E289" s="1"/>
      <c r="F289" s="1"/>
      <c r="G289" s="1"/>
      <c r="H289" s="29"/>
      <c r="I289" s="12"/>
      <c r="J289" s="12"/>
      <c r="K289" s="1"/>
      <c r="L289" s="1"/>
      <c r="M289" s="1"/>
      <c r="N289" s="1"/>
    </row>
    <row r="290" spans="1:14" ht="14.45">
      <c r="A290" s="8" t="s">
        <v>535</v>
      </c>
      <c r="B290" t="s">
        <v>536</v>
      </c>
      <c r="C290" t="s">
        <v>537</v>
      </c>
      <c r="D290" s="25"/>
      <c r="E290" s="57" t="s">
        <v>538</v>
      </c>
      <c r="F290" s="53" t="s">
        <v>182</v>
      </c>
      <c r="G290" s="26"/>
      <c r="H290" s="54" t="s">
        <v>539</v>
      </c>
      <c r="I290" s="55" t="s">
        <v>540</v>
      </c>
      <c r="J290" s="55"/>
      <c r="K290" s="56"/>
      <c r="L290" s="56"/>
      <c r="M290" s="53"/>
      <c r="N290" s="53"/>
    </row>
    <row r="291" spans="1:14" ht="14.45">
      <c r="A291" s="8" t="s">
        <v>541</v>
      </c>
      <c r="B291" s="20"/>
      <c r="C291" t="s">
        <v>542</v>
      </c>
      <c r="D291" s="25"/>
      <c r="E291" s="57"/>
      <c r="F291" s="53"/>
      <c r="G291" s="26"/>
      <c r="H291" s="54"/>
      <c r="I291" s="55"/>
      <c r="J291" s="55"/>
      <c r="K291" s="56"/>
      <c r="L291" s="56"/>
      <c r="M291" s="53"/>
      <c r="N291" s="53"/>
    </row>
    <row r="292" spans="1:14" ht="14.45">
      <c r="A292" s="8" t="s">
        <v>543</v>
      </c>
      <c r="B292" s="20"/>
      <c r="C292" t="s">
        <v>544</v>
      </c>
      <c r="D292" s="25"/>
      <c r="E292" s="57"/>
      <c r="F292" s="53"/>
      <c r="G292" s="26"/>
      <c r="H292" s="54"/>
      <c r="I292" s="55"/>
      <c r="J292" s="55"/>
      <c r="K292" s="56"/>
      <c r="L292" s="56"/>
      <c r="M292" s="53"/>
      <c r="N292" s="53"/>
    </row>
    <row r="293" spans="1:14" ht="14.45">
      <c r="A293" s="8" t="s">
        <v>545</v>
      </c>
      <c r="C293" t="s">
        <v>546</v>
      </c>
      <c r="E293" s="57"/>
      <c r="F293" s="53"/>
      <c r="G293" s="26"/>
      <c r="H293" s="54"/>
      <c r="I293" s="55"/>
      <c r="J293" s="55"/>
      <c r="K293" s="56"/>
      <c r="L293" s="56"/>
      <c r="M293" s="53"/>
      <c r="N293" s="53"/>
    </row>
    <row r="294" spans="1:14" ht="14.45">
      <c r="A294" s="8" t="s">
        <v>547</v>
      </c>
      <c r="C294" t="s">
        <v>548</v>
      </c>
      <c r="E294" s="57"/>
      <c r="F294" s="53"/>
      <c r="G294" s="26"/>
      <c r="H294" s="54"/>
      <c r="I294" s="55"/>
      <c r="J294" s="55"/>
      <c r="K294" s="56"/>
      <c r="L294" s="56"/>
      <c r="M294" s="53"/>
      <c r="N294" s="53"/>
    </row>
    <row r="295" spans="1:14" ht="14.45">
      <c r="E295" s="57"/>
      <c r="F295" s="53"/>
      <c r="G295" s="26"/>
      <c r="H295" s="54"/>
      <c r="I295" s="55"/>
      <c r="J295" s="55"/>
      <c r="K295" s="56"/>
      <c r="L295" s="56"/>
      <c r="M295" s="53"/>
      <c r="N295" s="53"/>
    </row>
    <row r="296" spans="1:14">
      <c r="A296" s="11"/>
      <c r="B296" s="7"/>
      <c r="C296" s="7"/>
      <c r="E296" s="57"/>
      <c r="F296" s="53"/>
      <c r="G296" s="26"/>
      <c r="H296" s="54"/>
      <c r="I296" s="55"/>
      <c r="J296" s="55"/>
      <c r="K296" s="56"/>
      <c r="L296" s="56"/>
      <c r="M296" s="53"/>
      <c r="N296" s="53"/>
    </row>
    <row r="297" spans="1:14" ht="14.45">
      <c r="A297" s="12"/>
      <c r="B297" s="1"/>
      <c r="C297" s="6"/>
      <c r="D297" s="6"/>
      <c r="E297" s="1"/>
      <c r="F297" s="1"/>
      <c r="G297" s="1"/>
      <c r="H297" s="29"/>
      <c r="I297" s="12"/>
      <c r="J297" s="12"/>
      <c r="K297" s="1"/>
      <c r="L297" s="1"/>
      <c r="M297" s="1"/>
      <c r="N297" s="1"/>
    </row>
    <row r="298" spans="1:14" ht="14.45">
      <c r="A298" s="8" t="s">
        <v>549</v>
      </c>
      <c r="B298" t="s">
        <v>550</v>
      </c>
      <c r="C298" t="s">
        <v>551</v>
      </c>
      <c r="D298" s="25"/>
      <c r="E298" s="57" t="s">
        <v>552</v>
      </c>
      <c r="F298" s="53" t="s">
        <v>123</v>
      </c>
      <c r="G298" s="26"/>
      <c r="H298" s="54" t="s">
        <v>553</v>
      </c>
      <c r="I298" s="55" t="s">
        <v>554</v>
      </c>
      <c r="J298" s="55"/>
      <c r="K298" s="56"/>
      <c r="L298" s="56"/>
      <c r="M298" s="53"/>
      <c r="N298" s="53"/>
    </row>
    <row r="299" spans="1:14" ht="14.45">
      <c r="A299" s="8" t="s">
        <v>555</v>
      </c>
      <c r="B299" s="20"/>
      <c r="C299" t="s">
        <v>556</v>
      </c>
      <c r="D299" s="25"/>
      <c r="E299" s="57"/>
      <c r="F299" s="53"/>
      <c r="G299" s="26"/>
      <c r="H299" s="54"/>
      <c r="I299" s="55"/>
      <c r="J299" s="55"/>
      <c r="K299" s="56"/>
      <c r="L299" s="56"/>
      <c r="M299" s="53"/>
      <c r="N299" s="53"/>
    </row>
    <row r="300" spans="1:14" ht="14.45">
      <c r="A300" s="8" t="s">
        <v>557</v>
      </c>
      <c r="B300" s="20"/>
      <c r="C300" t="s">
        <v>558</v>
      </c>
      <c r="D300" s="25"/>
      <c r="E300" s="57"/>
      <c r="F300" s="53"/>
      <c r="G300" s="26"/>
      <c r="H300" s="54"/>
      <c r="I300" s="55"/>
      <c r="J300" s="55"/>
      <c r="K300" s="56"/>
      <c r="L300" s="56"/>
      <c r="M300" s="53"/>
      <c r="N300" s="53"/>
    </row>
    <row r="301" spans="1:14" ht="14.45">
      <c r="A301" s="8" t="s">
        <v>559</v>
      </c>
      <c r="B301" s="20"/>
      <c r="C301" t="s">
        <v>560</v>
      </c>
      <c r="D301" s="25"/>
      <c r="E301" s="57"/>
      <c r="F301" s="53"/>
      <c r="G301" s="26"/>
      <c r="H301" s="54"/>
      <c r="I301" s="55"/>
      <c r="J301" s="55"/>
      <c r="K301" s="56"/>
      <c r="L301" s="56"/>
      <c r="M301" s="53"/>
      <c r="N301" s="53"/>
    </row>
    <row r="302" spans="1:14" ht="14.45">
      <c r="A302" s="8" t="s">
        <v>561</v>
      </c>
      <c r="B302" s="20"/>
      <c r="C302" t="s">
        <v>562</v>
      </c>
      <c r="D302" s="25"/>
      <c r="E302" s="57"/>
      <c r="F302" s="53"/>
      <c r="G302" s="26"/>
      <c r="H302" s="54"/>
      <c r="I302" s="55"/>
      <c r="J302" s="55"/>
      <c r="K302" s="56"/>
      <c r="L302" s="56"/>
      <c r="M302" s="53"/>
      <c r="N302" s="53"/>
    </row>
    <row r="303" spans="1:14" ht="14.45">
      <c r="A303" s="8"/>
      <c r="E303" s="57"/>
      <c r="F303" s="53"/>
      <c r="G303" s="26"/>
      <c r="H303" s="54"/>
      <c r="I303" s="55"/>
      <c r="J303" s="55"/>
      <c r="K303" s="56"/>
      <c r="L303" s="56"/>
      <c r="M303" s="53"/>
      <c r="N303" s="53"/>
    </row>
    <row r="304" spans="1:14">
      <c r="A304" s="11"/>
      <c r="B304" s="7"/>
      <c r="C304" s="7"/>
      <c r="E304" s="57"/>
      <c r="F304" s="53"/>
      <c r="G304" s="26"/>
      <c r="H304" s="54"/>
      <c r="I304" s="55"/>
      <c r="J304" s="55"/>
      <c r="K304" s="56"/>
      <c r="L304" s="56"/>
      <c r="M304" s="53"/>
      <c r="N304" s="53"/>
    </row>
    <row r="305" spans="1:14" ht="14.45">
      <c r="A305" s="12"/>
      <c r="B305" s="1"/>
      <c r="C305" s="6"/>
      <c r="D305" s="6"/>
      <c r="E305" s="1"/>
      <c r="F305" s="1"/>
      <c r="G305" s="1"/>
      <c r="H305" s="29"/>
      <c r="I305" s="12"/>
      <c r="J305" s="12"/>
      <c r="K305" s="1"/>
      <c r="L305" s="1"/>
      <c r="M305" s="1"/>
      <c r="N305" s="1"/>
    </row>
    <row r="306" spans="1:14" ht="14.45">
      <c r="A306" s="8" t="s">
        <v>563</v>
      </c>
      <c r="B306" t="s">
        <v>564</v>
      </c>
      <c r="C306" t="s">
        <v>565</v>
      </c>
      <c r="D306" s="33"/>
      <c r="E306" s="57" t="s">
        <v>566</v>
      </c>
      <c r="F306" s="53" t="s">
        <v>182</v>
      </c>
      <c r="G306" s="26"/>
      <c r="H306" s="55" t="s">
        <v>567</v>
      </c>
      <c r="I306" s="55" t="s">
        <v>568</v>
      </c>
      <c r="J306" s="55"/>
      <c r="K306" s="56"/>
      <c r="L306" s="56"/>
      <c r="M306" s="53"/>
      <c r="N306" s="53"/>
    </row>
    <row r="307" spans="1:14" ht="14.45">
      <c r="A307" s="8" t="s">
        <v>569</v>
      </c>
      <c r="B307" s="32"/>
      <c r="C307" t="s">
        <v>570</v>
      </c>
      <c r="D307" s="33"/>
      <c r="E307" s="57"/>
      <c r="F307" s="53"/>
      <c r="G307" s="26"/>
      <c r="H307" s="55"/>
      <c r="I307" s="55"/>
      <c r="J307" s="55"/>
      <c r="K307" s="56"/>
      <c r="L307" s="56"/>
      <c r="M307" s="53"/>
      <c r="N307" s="53"/>
    </row>
    <row r="308" spans="1:14" ht="14.45">
      <c r="A308" s="8" t="s">
        <v>571</v>
      </c>
      <c r="B308" s="32"/>
      <c r="C308" t="s">
        <v>572</v>
      </c>
      <c r="D308" s="33"/>
      <c r="E308" s="57"/>
      <c r="F308" s="53"/>
      <c r="G308" s="26"/>
      <c r="H308" s="55"/>
      <c r="I308" s="55"/>
      <c r="J308" s="55"/>
      <c r="K308" s="56"/>
      <c r="L308" s="56"/>
      <c r="M308" s="53"/>
      <c r="N308" s="53"/>
    </row>
    <row r="309" spans="1:14" ht="14.45">
      <c r="A309" s="8" t="s">
        <v>573</v>
      </c>
      <c r="B309" s="32"/>
      <c r="C309" t="s">
        <v>574</v>
      </c>
      <c r="D309" s="33"/>
      <c r="E309" s="57"/>
      <c r="F309" s="53"/>
      <c r="G309" s="26"/>
      <c r="H309" s="55"/>
      <c r="I309" s="55"/>
      <c r="J309" s="55"/>
      <c r="K309" s="56"/>
      <c r="L309" s="56"/>
      <c r="M309" s="53"/>
      <c r="N309" s="53"/>
    </row>
    <row r="310" spans="1:14" ht="14.45">
      <c r="A310" s="8" t="s">
        <v>575</v>
      </c>
      <c r="B310" s="32"/>
      <c r="C310" t="s">
        <v>576</v>
      </c>
      <c r="D310" s="33"/>
      <c r="E310" s="57"/>
      <c r="F310" s="53"/>
      <c r="G310" s="26"/>
      <c r="H310" s="55"/>
      <c r="I310" s="55"/>
      <c r="J310" s="55"/>
      <c r="K310" s="56"/>
      <c r="L310" s="56"/>
      <c r="M310" s="53"/>
      <c r="N310" s="53"/>
    </row>
    <row r="311" spans="1:14" ht="14.45">
      <c r="A311" s="31"/>
      <c r="B311" s="34"/>
      <c r="C311" s="34"/>
      <c r="D311" s="35"/>
      <c r="E311" s="57"/>
      <c r="F311" s="53"/>
      <c r="G311" s="26"/>
      <c r="H311" s="55"/>
      <c r="I311" s="55"/>
      <c r="J311" s="55"/>
      <c r="K311" s="56"/>
      <c r="L311" s="56"/>
      <c r="M311" s="53"/>
      <c r="N311" s="53"/>
    </row>
    <row r="312" spans="1:14">
      <c r="A312" s="50"/>
      <c r="B312" s="36"/>
      <c r="C312" s="36"/>
      <c r="D312" s="35"/>
      <c r="E312" s="57"/>
      <c r="F312" s="53"/>
      <c r="G312" s="26"/>
      <c r="H312" s="55"/>
      <c r="I312" s="55"/>
      <c r="J312" s="55"/>
      <c r="K312" s="56"/>
      <c r="L312" s="56"/>
      <c r="M312" s="53"/>
      <c r="N312" s="53"/>
    </row>
    <row r="313" spans="1:14" ht="14.45">
      <c r="A313" s="40"/>
      <c r="B313" s="37"/>
      <c r="C313" s="38"/>
      <c r="D313" s="38"/>
      <c r="E313" s="37"/>
      <c r="F313" s="37"/>
      <c r="G313" s="1"/>
      <c r="H313" s="40"/>
      <c r="I313" s="12"/>
      <c r="J313" s="12"/>
      <c r="K313" s="1"/>
      <c r="L313" s="1"/>
      <c r="M313" s="1"/>
      <c r="N313" s="1"/>
    </row>
    <row r="314" spans="1:14" ht="14.45">
      <c r="A314" s="8" t="s">
        <v>577</v>
      </c>
      <c r="B314" t="s">
        <v>578</v>
      </c>
      <c r="C314" t="s">
        <v>579</v>
      </c>
      <c r="D314" s="33"/>
      <c r="E314" s="62" t="s">
        <v>580</v>
      </c>
      <c r="F314" s="53" t="s">
        <v>252</v>
      </c>
      <c r="G314" s="26"/>
      <c r="H314" s="55" t="s">
        <v>581</v>
      </c>
      <c r="I314" s="55"/>
      <c r="J314" s="55"/>
      <c r="K314" s="56"/>
      <c r="L314" s="56"/>
      <c r="M314" s="53"/>
      <c r="N314" s="53"/>
    </row>
    <row r="315" spans="1:14" ht="14.45">
      <c r="A315" s="8" t="s">
        <v>582</v>
      </c>
      <c r="B315" s="32"/>
      <c r="C315" t="s">
        <v>583</v>
      </c>
      <c r="D315" s="33"/>
      <c r="E315" s="62"/>
      <c r="F315" s="53"/>
      <c r="G315" s="26"/>
      <c r="H315" s="55"/>
      <c r="I315" s="55"/>
      <c r="J315" s="55"/>
      <c r="K315" s="56"/>
      <c r="L315" s="56"/>
      <c r="M315" s="53"/>
      <c r="N315" s="53"/>
    </row>
    <row r="316" spans="1:14" ht="14.45">
      <c r="A316" s="8" t="s">
        <v>584</v>
      </c>
      <c r="B316" s="32"/>
      <c r="C316" t="s">
        <v>585</v>
      </c>
      <c r="D316" s="33"/>
      <c r="E316" s="62"/>
      <c r="F316" s="53"/>
      <c r="G316" s="26"/>
      <c r="H316" s="55"/>
      <c r="I316" s="55"/>
      <c r="J316" s="55"/>
      <c r="K316" s="56"/>
      <c r="L316" s="56"/>
      <c r="M316" s="53"/>
      <c r="N316" s="53"/>
    </row>
    <row r="317" spans="1:14" ht="14.45">
      <c r="A317" s="8" t="s">
        <v>586</v>
      </c>
      <c r="B317" s="39"/>
      <c r="C317" t="s">
        <v>587</v>
      </c>
      <c r="D317" s="33"/>
      <c r="E317" s="62"/>
      <c r="F317" s="53"/>
      <c r="G317" s="26"/>
      <c r="H317" s="55"/>
      <c r="I317" s="55"/>
      <c r="J317" s="55"/>
      <c r="K317" s="56"/>
      <c r="L317" s="56"/>
      <c r="M317" s="53"/>
      <c r="N317" s="53"/>
    </row>
    <row r="318" spans="1:14" ht="14.45">
      <c r="A318" s="8" t="s">
        <v>588</v>
      </c>
      <c r="B318" s="39"/>
      <c r="C318" t="s">
        <v>589</v>
      </c>
      <c r="D318" s="33"/>
      <c r="E318" s="62"/>
      <c r="F318" s="53"/>
      <c r="G318" s="26"/>
      <c r="H318" s="55"/>
      <c r="I318" s="55"/>
      <c r="J318" s="55"/>
      <c r="K318" s="56"/>
      <c r="L318" s="56"/>
      <c r="M318" s="53"/>
      <c r="N318" s="53"/>
    </row>
    <row r="319" spans="1:14" ht="14.45">
      <c r="A319" s="8"/>
      <c r="B319" s="20"/>
      <c r="C319" s="20"/>
      <c r="D319" s="25"/>
      <c r="E319" s="62"/>
      <c r="F319" s="53"/>
      <c r="G319" s="26"/>
      <c r="H319" s="55"/>
      <c r="I319" s="55"/>
      <c r="J319" s="55"/>
      <c r="K319" s="56"/>
      <c r="L319" s="56"/>
      <c r="M319" s="53"/>
      <c r="N319" s="53"/>
    </row>
    <row r="320" spans="1:14">
      <c r="A320" s="50"/>
      <c r="B320" s="36"/>
      <c r="C320" s="36"/>
      <c r="D320" s="35"/>
      <c r="E320" s="62"/>
      <c r="F320" s="53"/>
      <c r="G320" s="26"/>
      <c r="H320" s="55"/>
      <c r="I320" s="55"/>
      <c r="J320" s="55"/>
      <c r="K320" s="56"/>
      <c r="L320" s="56"/>
      <c r="M320" s="53"/>
      <c r="N320" s="53"/>
    </row>
    <row r="321" spans="1:14" ht="14.45">
      <c r="A321" s="12"/>
      <c r="B321" s="1"/>
      <c r="C321" s="6"/>
      <c r="D321" s="6"/>
      <c r="E321" s="1"/>
      <c r="F321" s="1"/>
      <c r="G321" s="1"/>
      <c r="H321" s="29"/>
      <c r="I321" s="12"/>
      <c r="J321" s="12"/>
      <c r="K321" s="1"/>
      <c r="L321" s="1"/>
      <c r="M321" s="1"/>
      <c r="N321" s="1"/>
    </row>
    <row r="322" spans="1:14">
      <c r="A322" s="8" t="s">
        <v>590</v>
      </c>
      <c r="B322" t="s">
        <v>591</v>
      </c>
      <c r="C322" t="s">
        <v>592</v>
      </c>
      <c r="D322" s="25"/>
      <c r="E322" s="62" t="s">
        <v>593</v>
      </c>
      <c r="F322" s="53" t="s">
        <v>123</v>
      </c>
      <c r="G322" s="26"/>
      <c r="H322" s="55" t="s">
        <v>594</v>
      </c>
      <c r="I322" s="55"/>
      <c r="J322" s="55"/>
      <c r="K322" s="56"/>
      <c r="L322" s="56"/>
      <c r="M322" s="53"/>
      <c r="N322" s="53"/>
    </row>
    <row r="323" spans="1:14" ht="14.45">
      <c r="A323" s="8" t="s">
        <v>595</v>
      </c>
      <c r="B323" s="20"/>
      <c r="C323" t="s">
        <v>596</v>
      </c>
      <c r="D323" s="25"/>
      <c r="E323" s="62"/>
      <c r="F323" s="53"/>
      <c r="G323" s="26"/>
      <c r="H323" s="54"/>
      <c r="I323" s="55"/>
      <c r="J323" s="55"/>
      <c r="K323" s="56"/>
      <c r="L323" s="56"/>
      <c r="M323" s="53"/>
      <c r="N323" s="53"/>
    </row>
    <row r="324" spans="1:14" ht="14.45">
      <c r="A324" s="8" t="s">
        <v>597</v>
      </c>
      <c r="B324" s="20"/>
      <c r="C324" t="s">
        <v>598</v>
      </c>
      <c r="D324" s="25"/>
      <c r="E324" s="62"/>
      <c r="F324" s="53"/>
      <c r="G324" s="26"/>
      <c r="H324" s="54"/>
      <c r="I324" s="55"/>
      <c r="J324" s="55"/>
      <c r="K324" s="56"/>
      <c r="L324" s="56"/>
      <c r="M324" s="53"/>
      <c r="N324" s="53"/>
    </row>
    <row r="325" spans="1:14" ht="14.45">
      <c r="A325" s="8" t="s">
        <v>599</v>
      </c>
      <c r="B325" s="20"/>
      <c r="C325" t="s">
        <v>600</v>
      </c>
      <c r="D325" s="25"/>
      <c r="E325" s="62"/>
      <c r="F325" s="53"/>
      <c r="G325" s="26"/>
      <c r="H325" s="54"/>
      <c r="I325" s="55"/>
      <c r="J325" s="55"/>
      <c r="K325" s="56"/>
      <c r="L325" s="56"/>
      <c r="M325" s="53"/>
      <c r="N325" s="53"/>
    </row>
    <row r="326" spans="1:14" ht="14.45">
      <c r="A326" s="8"/>
      <c r="B326" s="20"/>
      <c r="C326" s="20"/>
      <c r="D326" s="25"/>
      <c r="E326" s="62"/>
      <c r="F326" s="53"/>
      <c r="G326" s="26"/>
      <c r="H326" s="54"/>
      <c r="I326" s="55"/>
      <c r="J326" s="55"/>
      <c r="K326" s="56"/>
      <c r="L326" s="56"/>
      <c r="M326" s="53"/>
      <c r="N326" s="53"/>
    </row>
    <row r="327" spans="1:14" ht="14.45">
      <c r="A327" s="8"/>
      <c r="B327" s="20"/>
      <c r="C327" s="20"/>
      <c r="D327" s="25"/>
      <c r="E327" s="62"/>
      <c r="F327" s="53"/>
      <c r="G327" s="26"/>
      <c r="H327" s="54"/>
      <c r="I327" s="55"/>
      <c r="J327" s="55"/>
      <c r="K327" s="56"/>
      <c r="L327" s="56"/>
      <c r="M327" s="53"/>
      <c r="N327" s="53"/>
    </row>
    <row r="328" spans="1:14">
      <c r="A328" s="11"/>
      <c r="B328" s="7"/>
      <c r="C328" s="7"/>
      <c r="E328" s="62"/>
      <c r="F328" s="53"/>
      <c r="G328" s="26"/>
      <c r="H328" s="54"/>
      <c r="I328" s="55"/>
      <c r="J328" s="55"/>
      <c r="K328" s="56"/>
      <c r="L328" s="56"/>
      <c r="M328" s="53"/>
      <c r="N328" s="53"/>
    </row>
    <row r="329" spans="1:14" ht="14.45">
      <c r="A329" s="12"/>
      <c r="B329" s="1"/>
      <c r="C329" s="6"/>
      <c r="D329" s="6"/>
      <c r="E329" s="1"/>
      <c r="F329" s="1"/>
      <c r="G329" s="1"/>
      <c r="H329" s="29"/>
      <c r="I329" s="12"/>
      <c r="J329" s="12"/>
      <c r="K329" s="1"/>
      <c r="L329" s="1"/>
      <c r="M329" s="1"/>
      <c r="N329" s="1"/>
    </row>
    <row r="330" spans="1:14" ht="14.45">
      <c r="A330" s="8" t="s">
        <v>601</v>
      </c>
      <c r="B330" t="s">
        <v>602</v>
      </c>
      <c r="C330" t="s">
        <v>603</v>
      </c>
      <c r="D330" s="25"/>
      <c r="E330" s="62" t="s">
        <v>604</v>
      </c>
      <c r="F330" s="53" t="s">
        <v>123</v>
      </c>
      <c r="G330" s="53" t="s">
        <v>605</v>
      </c>
      <c r="H330" s="55" t="s">
        <v>606</v>
      </c>
      <c r="I330" s="55"/>
      <c r="J330" s="55"/>
      <c r="K330" s="56"/>
      <c r="L330" s="56"/>
      <c r="M330" s="53"/>
      <c r="N330" s="53"/>
    </row>
    <row r="331" spans="1:14" ht="14.45">
      <c r="A331" s="8" t="s">
        <v>607</v>
      </c>
      <c r="B331" s="20"/>
      <c r="C331" t="s">
        <v>608</v>
      </c>
      <c r="D331" s="25"/>
      <c r="E331" s="62"/>
      <c r="F331" s="53"/>
      <c r="G331" s="53"/>
      <c r="H331" s="54"/>
      <c r="I331" s="55"/>
      <c r="J331" s="55"/>
      <c r="K331" s="56"/>
      <c r="L331" s="56"/>
      <c r="M331" s="53"/>
      <c r="N331" s="53"/>
    </row>
    <row r="332" spans="1:14" ht="14.45">
      <c r="A332" s="8" t="s">
        <v>609</v>
      </c>
      <c r="B332" s="23"/>
      <c r="C332" t="s">
        <v>610</v>
      </c>
      <c r="D332" s="25"/>
      <c r="E332" s="62"/>
      <c r="F332" s="53"/>
      <c r="G332" s="53"/>
      <c r="H332" s="54"/>
      <c r="I332" s="55"/>
      <c r="J332" s="55"/>
      <c r="K332" s="56"/>
      <c r="L332" s="56"/>
      <c r="M332" s="53"/>
      <c r="N332" s="53"/>
    </row>
    <row r="333" spans="1:14" ht="14.45">
      <c r="A333" s="8" t="s">
        <v>611</v>
      </c>
      <c r="B333" s="41"/>
      <c r="C333" t="s">
        <v>612</v>
      </c>
      <c r="D333" s="25"/>
      <c r="E333" s="62"/>
      <c r="F333" s="53"/>
      <c r="G333" s="53"/>
      <c r="H333" s="54"/>
      <c r="I333" s="55"/>
      <c r="J333" s="55"/>
      <c r="K333" s="56"/>
      <c r="L333" s="56"/>
      <c r="M333" s="53"/>
      <c r="N333" s="53"/>
    </row>
    <row r="334" spans="1:14" ht="14.45">
      <c r="A334" s="8" t="s">
        <v>613</v>
      </c>
      <c r="C334" t="s">
        <v>614</v>
      </c>
      <c r="E334" s="62"/>
      <c r="F334" s="53"/>
      <c r="G334" s="53"/>
      <c r="H334" s="54"/>
      <c r="I334" s="55"/>
      <c r="J334" s="55"/>
      <c r="K334" s="56"/>
      <c r="L334" s="56"/>
      <c r="M334" s="53"/>
      <c r="N334" s="53"/>
    </row>
    <row r="335" spans="1:14" ht="14.45">
      <c r="E335" s="62"/>
      <c r="F335" s="53"/>
      <c r="G335" s="53"/>
      <c r="H335" s="54"/>
      <c r="I335" s="55"/>
      <c r="J335" s="55"/>
      <c r="K335" s="56"/>
      <c r="L335" s="56"/>
      <c r="M335" s="53"/>
      <c r="N335" s="53"/>
    </row>
    <row r="336" spans="1:14">
      <c r="A336" s="11"/>
      <c r="B336" s="7"/>
      <c r="C336" s="7"/>
      <c r="E336" s="62"/>
      <c r="F336" s="53"/>
      <c r="G336" s="53"/>
      <c r="H336" s="54"/>
      <c r="I336" s="55"/>
      <c r="J336" s="55"/>
      <c r="K336" s="56"/>
      <c r="L336" s="56"/>
      <c r="M336" s="53"/>
      <c r="N336" s="53"/>
    </row>
    <row r="337" spans="1:14" ht="14.45">
      <c r="A337" s="12"/>
      <c r="B337" s="1"/>
      <c r="C337" s="6"/>
      <c r="D337" s="6"/>
      <c r="E337" s="1"/>
      <c r="F337" s="1"/>
      <c r="G337" s="1"/>
      <c r="H337" s="29"/>
      <c r="I337" s="12"/>
      <c r="J337" s="12"/>
      <c r="K337" s="1"/>
      <c r="L337" s="1"/>
      <c r="M337" s="1"/>
      <c r="N337" s="1"/>
    </row>
    <row r="338" spans="1:14" ht="14.45">
      <c r="A338" s="8" t="s">
        <v>615</v>
      </c>
      <c r="B338" t="s">
        <v>616</v>
      </c>
      <c r="C338" t="s">
        <v>617</v>
      </c>
      <c r="D338" s="25"/>
      <c r="E338" s="62" t="s">
        <v>618</v>
      </c>
      <c r="F338" s="53" t="s">
        <v>108</v>
      </c>
      <c r="G338" s="26"/>
      <c r="H338" s="55" t="s">
        <v>619</v>
      </c>
      <c r="I338" s="55"/>
      <c r="J338" s="55"/>
      <c r="K338" s="56"/>
      <c r="L338" s="56"/>
      <c r="M338" s="53"/>
      <c r="N338" s="53"/>
    </row>
    <row r="339" spans="1:14" ht="14.45">
      <c r="A339" s="8" t="s">
        <v>620</v>
      </c>
      <c r="B339" s="20"/>
      <c r="C339" t="s">
        <v>621</v>
      </c>
      <c r="D339" s="25"/>
      <c r="E339" s="62"/>
      <c r="F339" s="53"/>
      <c r="G339" s="26"/>
      <c r="H339" s="54"/>
      <c r="I339" s="55"/>
      <c r="J339" s="55"/>
      <c r="K339" s="56"/>
      <c r="L339" s="56"/>
      <c r="M339" s="53"/>
      <c r="N339" s="53"/>
    </row>
    <row r="340" spans="1:14" ht="14.45">
      <c r="A340" s="8" t="s">
        <v>622</v>
      </c>
      <c r="B340" s="20"/>
      <c r="C340" t="s">
        <v>623</v>
      </c>
      <c r="D340" s="25"/>
      <c r="E340" s="62"/>
      <c r="F340" s="53"/>
      <c r="G340" s="26"/>
      <c r="H340" s="54"/>
      <c r="I340" s="55"/>
      <c r="J340" s="55"/>
      <c r="K340" s="56"/>
      <c r="L340" s="56"/>
      <c r="M340" s="53"/>
      <c r="N340" s="53"/>
    </row>
    <row r="341" spans="1:14" ht="14.45">
      <c r="A341" s="8" t="s">
        <v>624</v>
      </c>
      <c r="B341" s="20"/>
      <c r="C341" t="s">
        <v>625</v>
      </c>
      <c r="D341" s="25"/>
      <c r="E341" s="62"/>
      <c r="F341" s="53"/>
      <c r="G341" s="26"/>
      <c r="H341" s="54"/>
      <c r="I341" s="55"/>
      <c r="J341" s="55"/>
      <c r="K341" s="56"/>
      <c r="L341" s="56"/>
      <c r="M341" s="53"/>
      <c r="N341" s="53"/>
    </row>
    <row r="342" spans="1:14" ht="14.45">
      <c r="A342" s="8" t="s">
        <v>626</v>
      </c>
      <c r="B342" s="20"/>
      <c r="C342" t="s">
        <v>627</v>
      </c>
      <c r="D342" s="25"/>
      <c r="E342" s="62"/>
      <c r="F342" s="53"/>
      <c r="G342" s="26"/>
      <c r="H342" s="54"/>
      <c r="I342" s="55"/>
      <c r="J342" s="55"/>
      <c r="K342" s="56"/>
      <c r="L342" s="56"/>
      <c r="M342" s="53"/>
      <c r="N342" s="53"/>
    </row>
    <row r="343" spans="1:14" ht="14.45">
      <c r="A343" s="8"/>
      <c r="B343" s="20"/>
      <c r="C343" s="20"/>
      <c r="D343" s="25"/>
      <c r="E343" s="62"/>
      <c r="F343" s="53"/>
      <c r="G343" s="26"/>
      <c r="H343" s="54"/>
      <c r="I343" s="55"/>
      <c r="J343" s="55"/>
      <c r="K343" s="56"/>
      <c r="L343" s="56"/>
      <c r="M343" s="53"/>
      <c r="N343" s="53"/>
    </row>
    <row r="344" spans="1:14">
      <c r="A344" s="11"/>
      <c r="B344" s="7"/>
      <c r="C344" s="7"/>
      <c r="E344" s="62"/>
      <c r="F344" s="53"/>
      <c r="G344" s="26"/>
      <c r="H344" s="54"/>
      <c r="I344" s="55"/>
      <c r="J344" s="55"/>
      <c r="K344" s="56"/>
      <c r="L344" s="56"/>
      <c r="M344" s="53"/>
      <c r="N344" s="53"/>
    </row>
    <row r="345" spans="1:14" ht="14.45">
      <c r="A345" s="12"/>
      <c r="B345" s="1"/>
      <c r="C345" s="6"/>
      <c r="D345" s="6"/>
      <c r="E345" s="1"/>
      <c r="F345" s="1"/>
      <c r="G345" s="1"/>
      <c r="H345" s="29"/>
      <c r="I345" s="12"/>
      <c r="J345" s="12"/>
      <c r="K345" s="1"/>
      <c r="L345" s="1"/>
      <c r="M345" s="1"/>
      <c r="N345" s="1"/>
    </row>
    <row r="346" spans="1:14" ht="14.45">
      <c r="A346" s="8" t="s">
        <v>628</v>
      </c>
      <c r="B346" t="s">
        <v>629</v>
      </c>
      <c r="C346" t="s">
        <v>630</v>
      </c>
      <c r="D346" s="25"/>
      <c r="E346" s="62" t="s">
        <v>631</v>
      </c>
      <c r="F346" s="53" t="s">
        <v>632</v>
      </c>
      <c r="G346" s="26" t="s">
        <v>467</v>
      </c>
      <c r="H346" s="55" t="s">
        <v>633</v>
      </c>
      <c r="I346" s="55"/>
      <c r="J346" s="55"/>
      <c r="K346" s="56"/>
      <c r="L346" s="56"/>
      <c r="M346" s="53"/>
      <c r="N346" s="53"/>
    </row>
    <row r="347" spans="1:14" ht="14.45">
      <c r="A347" s="8" t="s">
        <v>634</v>
      </c>
      <c r="B347" s="20"/>
      <c r="C347" t="s">
        <v>635</v>
      </c>
      <c r="D347" s="25"/>
      <c r="E347" s="62"/>
      <c r="F347" s="53"/>
      <c r="G347" s="26"/>
      <c r="H347" s="54"/>
      <c r="I347" s="55"/>
      <c r="J347" s="55"/>
      <c r="K347" s="56"/>
      <c r="L347" s="56"/>
      <c r="M347" s="53"/>
      <c r="N347" s="53"/>
    </row>
    <row r="348" spans="1:14" ht="14.45">
      <c r="A348" s="8" t="s">
        <v>636</v>
      </c>
      <c r="B348" s="20"/>
      <c r="C348" t="s">
        <v>637</v>
      </c>
      <c r="D348" s="25"/>
      <c r="E348" s="62"/>
      <c r="F348" s="53"/>
      <c r="G348" s="26"/>
      <c r="H348" s="54"/>
      <c r="I348" s="55"/>
      <c r="J348" s="55"/>
      <c r="K348" s="56"/>
      <c r="L348" s="56"/>
      <c r="M348" s="53"/>
      <c r="N348" s="53"/>
    </row>
    <row r="349" spans="1:14" ht="14.45">
      <c r="A349" s="21"/>
      <c r="B349" s="20"/>
      <c r="C349" s="20"/>
      <c r="D349" s="25"/>
      <c r="E349" s="62"/>
      <c r="F349" s="53"/>
      <c r="G349" s="26"/>
      <c r="H349" s="54"/>
      <c r="I349" s="55"/>
      <c r="J349" s="55"/>
      <c r="K349" s="56"/>
      <c r="L349" s="56"/>
      <c r="M349" s="53"/>
      <c r="N349" s="53"/>
    </row>
    <row r="350" spans="1:14" ht="14.45">
      <c r="E350" s="62"/>
      <c r="F350" s="53"/>
      <c r="G350" s="26"/>
      <c r="H350" s="54"/>
      <c r="I350" s="55"/>
      <c r="J350" s="55"/>
      <c r="K350" s="56"/>
      <c r="L350" s="56"/>
      <c r="M350" s="53"/>
      <c r="N350" s="53"/>
    </row>
    <row r="351" spans="1:14" ht="14.45">
      <c r="E351" s="62"/>
      <c r="F351" s="53"/>
      <c r="G351" s="26"/>
      <c r="H351" s="54"/>
      <c r="I351" s="55"/>
      <c r="J351" s="55"/>
      <c r="K351" s="56"/>
      <c r="L351" s="56"/>
      <c r="M351" s="53"/>
      <c r="N351" s="53"/>
    </row>
    <row r="352" spans="1:14" ht="14.45">
      <c r="E352" s="62"/>
      <c r="F352" s="53"/>
      <c r="G352" s="26"/>
      <c r="H352" s="54"/>
      <c r="I352" s="55"/>
      <c r="J352" s="55"/>
      <c r="K352" s="56"/>
      <c r="L352" s="56"/>
      <c r="M352" s="53"/>
      <c r="N352" s="53"/>
    </row>
    <row r="353" spans="1:14" ht="14.45">
      <c r="A353" s="12"/>
      <c r="B353" s="1"/>
      <c r="C353" s="6"/>
      <c r="D353" s="6"/>
      <c r="E353" s="1"/>
      <c r="F353" s="1"/>
      <c r="G353" s="1"/>
      <c r="H353" s="29"/>
      <c r="I353" s="12"/>
      <c r="J353" s="12"/>
      <c r="K353" s="1"/>
      <c r="L353" s="1"/>
      <c r="M353" s="1"/>
      <c r="N353" s="1"/>
    </row>
    <row r="354" spans="1:14" ht="14.45">
      <c r="A354" s="8" t="s">
        <v>638</v>
      </c>
      <c r="B354" t="s">
        <v>639</v>
      </c>
      <c r="C354" t="s">
        <v>640</v>
      </c>
      <c r="D354" s="25"/>
      <c r="E354" s="62" t="s">
        <v>641</v>
      </c>
      <c r="F354" s="53" t="s">
        <v>642</v>
      </c>
      <c r="G354" s="26" t="s">
        <v>643</v>
      </c>
      <c r="H354" s="55" t="s">
        <v>644</v>
      </c>
      <c r="I354" s="55"/>
      <c r="J354" s="55"/>
      <c r="K354" s="56"/>
      <c r="L354" s="56"/>
      <c r="M354" s="53"/>
      <c r="N354" s="53"/>
    </row>
    <row r="355" spans="1:14" ht="14.45">
      <c r="A355" s="8" t="s">
        <v>645</v>
      </c>
      <c r="B355" s="20"/>
      <c r="C355" t="s">
        <v>646</v>
      </c>
      <c r="D355" s="25"/>
      <c r="E355" s="62"/>
      <c r="F355" s="53"/>
      <c r="G355" s="26"/>
      <c r="H355" s="54"/>
      <c r="I355" s="55"/>
      <c r="J355" s="55"/>
      <c r="K355" s="56"/>
      <c r="L355" s="56"/>
      <c r="M355" s="53"/>
      <c r="N355" s="53"/>
    </row>
    <row r="356" spans="1:14" ht="14.45">
      <c r="A356" s="8" t="s">
        <v>647</v>
      </c>
      <c r="B356" s="20"/>
      <c r="C356" t="s">
        <v>648</v>
      </c>
      <c r="D356" s="25"/>
      <c r="E356" s="62"/>
      <c r="F356" s="53"/>
      <c r="G356" s="26"/>
      <c r="H356" s="54"/>
      <c r="I356" s="55"/>
      <c r="J356" s="55"/>
      <c r="K356" s="56"/>
      <c r="L356" s="56"/>
      <c r="M356" s="53"/>
      <c r="N356" s="53"/>
    </row>
    <row r="357" spans="1:14" ht="14.45">
      <c r="A357" s="8" t="s">
        <v>649</v>
      </c>
      <c r="B357" s="20"/>
      <c r="C357" t="s">
        <v>650</v>
      </c>
      <c r="D357" s="25"/>
      <c r="E357" s="62"/>
      <c r="F357" s="53"/>
      <c r="G357" s="26"/>
      <c r="H357" s="54"/>
      <c r="I357" s="55"/>
      <c r="J357" s="55"/>
      <c r="K357" s="56"/>
      <c r="L357" s="56"/>
      <c r="M357" s="53"/>
      <c r="N357" s="53"/>
    </row>
    <row r="358" spans="1:14" ht="14.45">
      <c r="A358" s="8"/>
      <c r="B358" s="20"/>
      <c r="C358" s="20"/>
      <c r="D358" s="25"/>
      <c r="E358" s="62"/>
      <c r="F358" s="53"/>
      <c r="G358" s="26"/>
      <c r="H358" s="54"/>
      <c r="I358" s="55"/>
      <c r="J358" s="55"/>
      <c r="K358" s="56"/>
      <c r="L358" s="56"/>
      <c r="M358" s="53"/>
      <c r="N358" s="53"/>
    </row>
    <row r="359" spans="1:14" ht="14.45">
      <c r="A359" s="8"/>
      <c r="E359" s="62"/>
      <c r="F359" s="53"/>
      <c r="G359" s="26"/>
      <c r="H359" s="54"/>
      <c r="I359" s="55"/>
      <c r="J359" s="55"/>
      <c r="K359" s="56"/>
      <c r="L359" s="56"/>
      <c r="M359" s="53"/>
      <c r="N359" s="53"/>
    </row>
    <row r="360" spans="1:14">
      <c r="A360" s="11"/>
      <c r="B360" s="7"/>
      <c r="C360" s="7"/>
      <c r="E360" s="62"/>
      <c r="F360" s="53"/>
      <c r="G360" s="26"/>
      <c r="H360" s="54"/>
      <c r="I360" s="55"/>
      <c r="J360" s="55"/>
      <c r="K360" s="56"/>
      <c r="L360" s="56"/>
      <c r="M360" s="53"/>
      <c r="N360" s="53"/>
    </row>
    <row r="361" spans="1:14" ht="14.45">
      <c r="A361" s="12"/>
      <c r="B361" s="1"/>
      <c r="C361" s="6"/>
      <c r="D361" s="6"/>
      <c r="E361" s="1"/>
      <c r="F361" s="1"/>
      <c r="G361" s="1"/>
      <c r="H361" s="30"/>
      <c r="I361" s="1"/>
      <c r="J361" s="1"/>
      <c r="K361" s="1"/>
      <c r="L361" s="1"/>
      <c r="M361" s="1"/>
      <c r="N361" s="1"/>
    </row>
    <row r="362" spans="1:14" ht="14.45">
      <c r="A362" s="8" t="s">
        <v>651</v>
      </c>
      <c r="B362" t="s">
        <v>652</v>
      </c>
      <c r="C362" t="s">
        <v>653</v>
      </c>
      <c r="D362" s="25"/>
      <c r="E362" s="62" t="s">
        <v>654</v>
      </c>
      <c r="F362" s="53" t="s">
        <v>655</v>
      </c>
      <c r="G362" s="26"/>
      <c r="H362" s="55" t="s">
        <v>656</v>
      </c>
      <c r="I362" s="55"/>
      <c r="J362" s="55"/>
      <c r="K362" s="56"/>
      <c r="L362" s="56"/>
      <c r="M362" s="53"/>
      <c r="N362" s="53"/>
    </row>
    <row r="363" spans="1:14" ht="14.45">
      <c r="A363" s="8" t="s">
        <v>657</v>
      </c>
      <c r="B363" s="20"/>
      <c r="C363" t="s">
        <v>658</v>
      </c>
      <c r="D363" s="25"/>
      <c r="E363" s="62"/>
      <c r="F363" s="53"/>
      <c r="G363" s="26"/>
      <c r="H363" s="54"/>
      <c r="I363" s="55"/>
      <c r="J363" s="55"/>
      <c r="K363" s="56"/>
      <c r="L363" s="56"/>
      <c r="M363" s="53"/>
      <c r="N363" s="53"/>
    </row>
    <row r="364" spans="1:14" ht="14.45">
      <c r="A364" s="8" t="s">
        <v>659</v>
      </c>
      <c r="B364" s="20"/>
      <c r="C364" t="s">
        <v>660</v>
      </c>
      <c r="D364" s="25"/>
      <c r="E364" s="62"/>
      <c r="F364" s="53"/>
      <c r="G364" s="26"/>
      <c r="H364" s="54"/>
      <c r="I364" s="55"/>
      <c r="J364" s="55"/>
      <c r="K364" s="56"/>
      <c r="L364" s="56"/>
      <c r="M364" s="53"/>
      <c r="N364" s="53"/>
    </row>
    <row r="365" spans="1:14" ht="14.45">
      <c r="A365" s="8" t="s">
        <v>661</v>
      </c>
      <c r="B365" s="20"/>
      <c r="C365" t="s">
        <v>662</v>
      </c>
      <c r="D365" s="25"/>
      <c r="E365" s="62"/>
      <c r="F365" s="53"/>
      <c r="G365" s="26"/>
      <c r="H365" s="54"/>
      <c r="I365" s="55"/>
      <c r="J365" s="55"/>
      <c r="K365" s="56"/>
      <c r="L365" s="56"/>
      <c r="M365" s="53"/>
      <c r="N365" s="53"/>
    </row>
    <row r="366" spans="1:14" ht="14.45">
      <c r="A366" s="8"/>
      <c r="B366" s="20"/>
      <c r="C366" s="20"/>
      <c r="D366" s="25"/>
      <c r="E366" s="62"/>
      <c r="F366" s="53"/>
      <c r="G366" s="26"/>
      <c r="H366" s="54"/>
      <c r="I366" s="55"/>
      <c r="J366" s="55"/>
      <c r="K366" s="56"/>
      <c r="L366" s="56"/>
      <c r="M366" s="53"/>
      <c r="N366" s="53"/>
    </row>
    <row r="367" spans="1:14" s="13" customFormat="1" ht="14.45">
      <c r="A367" s="8"/>
      <c r="B367" s="20"/>
      <c r="C367" s="20"/>
      <c r="D367" s="25"/>
      <c r="E367" s="62"/>
      <c r="F367" s="53"/>
      <c r="G367" s="26"/>
      <c r="H367" s="54"/>
      <c r="I367" s="55"/>
      <c r="J367" s="55"/>
      <c r="K367" s="56"/>
      <c r="L367" s="56"/>
      <c r="M367" s="53"/>
      <c r="N367" s="53"/>
    </row>
    <row r="368" spans="1:14">
      <c r="A368" s="11"/>
      <c r="B368" s="7"/>
      <c r="C368" s="7"/>
      <c r="E368" s="62"/>
      <c r="F368" s="53"/>
      <c r="G368" s="26"/>
      <c r="H368" s="54"/>
      <c r="I368" s="55"/>
      <c r="J368" s="55"/>
      <c r="K368" s="56"/>
      <c r="L368" s="56"/>
      <c r="M368" s="53"/>
      <c r="N368" s="53"/>
    </row>
    <row r="369" spans="1:14" ht="14.45">
      <c r="A369" s="12"/>
      <c r="B369" s="1"/>
      <c r="C369" s="6"/>
      <c r="D369" s="6"/>
      <c r="E369" s="1"/>
      <c r="F369" s="1"/>
      <c r="G369" s="1"/>
      <c r="H369" s="29"/>
      <c r="I369" s="12"/>
      <c r="J369" s="12"/>
      <c r="K369" s="1"/>
      <c r="L369" s="1"/>
      <c r="M369" s="1"/>
      <c r="N369" s="1"/>
    </row>
    <row r="370" spans="1:14" ht="14.45">
      <c r="A370" s="8" t="s">
        <v>663</v>
      </c>
      <c r="B370" t="s">
        <v>664</v>
      </c>
      <c r="C370" t="s">
        <v>665</v>
      </c>
      <c r="D370" s="25"/>
      <c r="E370" s="62" t="s">
        <v>666</v>
      </c>
      <c r="F370" s="53" t="s">
        <v>74</v>
      </c>
      <c r="G370" s="26"/>
      <c r="H370" s="55" t="s">
        <v>667</v>
      </c>
      <c r="I370" s="55"/>
      <c r="J370" s="55"/>
      <c r="K370" s="56"/>
      <c r="L370" s="56"/>
      <c r="M370" s="53"/>
      <c r="N370" s="53"/>
    </row>
    <row r="371" spans="1:14" ht="14.45">
      <c r="A371" s="8" t="s">
        <v>668</v>
      </c>
      <c r="B371" s="20"/>
      <c r="C371" t="s">
        <v>669</v>
      </c>
      <c r="D371" s="25"/>
      <c r="E371" s="62"/>
      <c r="F371" s="53"/>
      <c r="G371" s="26"/>
      <c r="H371" s="54"/>
      <c r="I371" s="55"/>
      <c r="J371" s="55"/>
      <c r="K371" s="56"/>
      <c r="L371" s="56"/>
      <c r="M371" s="53"/>
      <c r="N371" s="53"/>
    </row>
    <row r="372" spans="1:14" ht="14.45">
      <c r="A372" s="8" t="s">
        <v>670</v>
      </c>
      <c r="B372" s="20"/>
      <c r="C372" t="s">
        <v>671</v>
      </c>
      <c r="D372" s="25"/>
      <c r="E372" s="62"/>
      <c r="F372" s="53"/>
      <c r="G372" s="26"/>
      <c r="H372" s="54"/>
      <c r="I372" s="55"/>
      <c r="J372" s="55"/>
      <c r="K372" s="56"/>
      <c r="L372" s="56"/>
      <c r="M372" s="53"/>
      <c r="N372" s="53"/>
    </row>
    <row r="373" spans="1:14" ht="14.45">
      <c r="A373" s="8" t="s">
        <v>672</v>
      </c>
      <c r="B373" s="20"/>
      <c r="C373" t="s">
        <v>673</v>
      </c>
      <c r="D373" s="25"/>
      <c r="E373" s="62"/>
      <c r="F373" s="53"/>
      <c r="G373" s="26"/>
      <c r="H373" s="54"/>
      <c r="I373" s="55"/>
      <c r="J373" s="55"/>
      <c r="K373" s="56"/>
      <c r="L373" s="56"/>
      <c r="M373" s="53"/>
      <c r="N373" s="53"/>
    </row>
    <row r="374" spans="1:14" ht="14.45">
      <c r="A374" s="8">
        <v>231001452</v>
      </c>
      <c r="B374" s="20"/>
      <c r="C374" t="s">
        <v>674</v>
      </c>
      <c r="D374" s="25"/>
      <c r="E374" s="62"/>
      <c r="F374" s="53"/>
      <c r="G374" s="26"/>
      <c r="H374" s="54"/>
      <c r="I374" s="55"/>
      <c r="J374" s="55"/>
      <c r="K374" s="56"/>
      <c r="L374" s="56"/>
      <c r="M374" s="53"/>
      <c r="N374" s="53"/>
    </row>
    <row r="375" spans="1:14" ht="14.45">
      <c r="A375" s="8"/>
      <c r="B375" s="20"/>
      <c r="C375" s="20"/>
      <c r="D375" s="25"/>
      <c r="E375" s="62"/>
      <c r="F375" s="53"/>
      <c r="G375" s="26"/>
      <c r="H375" s="54"/>
      <c r="I375" s="55"/>
      <c r="J375" s="55"/>
      <c r="K375" s="56"/>
      <c r="L375" s="56"/>
      <c r="M375" s="53"/>
      <c r="N375" s="53"/>
    </row>
    <row r="376" spans="1:14">
      <c r="A376" s="11"/>
      <c r="B376" s="7"/>
      <c r="C376" s="7"/>
      <c r="E376" s="62"/>
      <c r="F376" s="53"/>
      <c r="G376" s="26"/>
      <c r="H376" s="54"/>
      <c r="I376" s="55"/>
      <c r="J376" s="55"/>
      <c r="K376" s="56"/>
      <c r="L376" s="56"/>
      <c r="M376" s="53"/>
      <c r="N376" s="53"/>
    </row>
    <row r="377" spans="1:14" ht="14.45">
      <c r="A377" s="12"/>
      <c r="B377" s="1"/>
      <c r="C377" s="6"/>
      <c r="D377" s="6"/>
      <c r="E377" s="1"/>
      <c r="F377" s="1"/>
      <c r="G377" s="1"/>
      <c r="H377" s="29"/>
      <c r="I377" s="12"/>
      <c r="J377" s="12"/>
      <c r="K377" s="1"/>
      <c r="L377" s="1"/>
      <c r="M377" s="1"/>
      <c r="N377" s="1"/>
    </row>
    <row r="378" spans="1:14">
      <c r="A378" s="8" t="s">
        <v>675</v>
      </c>
      <c r="B378" t="s">
        <v>676</v>
      </c>
      <c r="C378" t="s">
        <v>677</v>
      </c>
      <c r="D378" s="25"/>
      <c r="E378" s="62" t="s">
        <v>678</v>
      </c>
      <c r="F378" s="53" t="s">
        <v>679</v>
      </c>
      <c r="G378" s="26"/>
      <c r="H378" s="55" t="s">
        <v>680</v>
      </c>
      <c r="I378" s="55"/>
      <c r="J378" s="55"/>
      <c r="K378" s="56"/>
      <c r="L378" s="56"/>
      <c r="M378" s="53"/>
      <c r="N378" s="53"/>
    </row>
    <row r="379" spans="1:14" ht="14.45">
      <c r="A379" s="8" t="s">
        <v>681</v>
      </c>
      <c r="B379" s="20"/>
      <c r="C379" t="s">
        <v>682</v>
      </c>
      <c r="D379" s="25"/>
      <c r="E379" s="62"/>
      <c r="F379" s="53"/>
      <c r="G379" s="26"/>
      <c r="H379" s="54"/>
      <c r="I379" s="55"/>
      <c r="J379" s="55"/>
      <c r="K379" s="56"/>
      <c r="L379" s="56"/>
      <c r="M379" s="53"/>
      <c r="N379" s="53"/>
    </row>
    <row r="380" spans="1:14" ht="14.45">
      <c r="A380" s="8" t="s">
        <v>683</v>
      </c>
      <c r="B380" s="20"/>
      <c r="C380" t="s">
        <v>684</v>
      </c>
      <c r="D380" s="25"/>
      <c r="E380" s="62"/>
      <c r="F380" s="53"/>
      <c r="G380" s="26"/>
      <c r="H380" s="54"/>
      <c r="I380" s="55"/>
      <c r="J380" s="55"/>
      <c r="K380" s="56"/>
      <c r="L380" s="56"/>
      <c r="M380" s="53"/>
      <c r="N380" s="53"/>
    </row>
    <row r="381" spans="1:14" ht="14.45">
      <c r="A381" s="8" t="s">
        <v>685</v>
      </c>
      <c r="B381" s="20"/>
      <c r="C381" t="s">
        <v>686</v>
      </c>
      <c r="D381" s="25"/>
      <c r="E381" s="62"/>
      <c r="F381" s="53"/>
      <c r="G381" s="26"/>
      <c r="H381" s="54"/>
      <c r="I381" s="55"/>
      <c r="J381" s="55"/>
      <c r="K381" s="56"/>
      <c r="L381" s="56"/>
      <c r="M381" s="53"/>
      <c r="N381" s="53"/>
    </row>
    <row r="382" spans="1:14" ht="14.45">
      <c r="A382" s="8" t="s">
        <v>687</v>
      </c>
      <c r="B382" s="23"/>
      <c r="C382" t="s">
        <v>688</v>
      </c>
      <c r="D382" s="25"/>
      <c r="E382" s="62"/>
      <c r="F382" s="53"/>
      <c r="G382" s="26"/>
      <c r="H382" s="54"/>
      <c r="I382" s="55"/>
      <c r="J382" s="55"/>
      <c r="K382" s="56"/>
      <c r="L382" s="56"/>
      <c r="M382" s="53"/>
      <c r="N382" s="53"/>
    </row>
    <row r="383" spans="1:14" ht="14.45">
      <c r="A383" s="8" t="s">
        <v>689</v>
      </c>
      <c r="B383" s="23"/>
      <c r="C383" t="s">
        <v>690</v>
      </c>
      <c r="D383" s="25"/>
      <c r="E383" s="62"/>
      <c r="F383" s="53"/>
      <c r="G383" s="26"/>
      <c r="H383" s="54"/>
      <c r="I383" s="55"/>
      <c r="J383" s="55"/>
      <c r="K383" s="56"/>
      <c r="L383" s="56"/>
      <c r="M383" s="53"/>
      <c r="N383" s="53"/>
    </row>
    <row r="384" spans="1:14">
      <c r="A384" s="11"/>
      <c r="B384" s="7"/>
      <c r="C384" s="7"/>
      <c r="E384" s="62"/>
      <c r="F384" s="53"/>
      <c r="G384" s="26"/>
      <c r="H384" s="54"/>
      <c r="I384" s="55"/>
      <c r="J384" s="55"/>
      <c r="K384" s="56"/>
      <c r="L384" s="56"/>
      <c r="M384" s="53"/>
      <c r="N384" s="53"/>
    </row>
    <row r="385" spans="1:14" ht="14.45">
      <c r="A385" s="12"/>
      <c r="B385" s="1"/>
      <c r="C385" s="6"/>
      <c r="D385" s="6"/>
      <c r="E385" s="1"/>
      <c r="F385" s="1"/>
      <c r="G385" s="1"/>
      <c r="H385" s="30"/>
      <c r="I385" s="1"/>
      <c r="J385" s="1"/>
      <c r="K385" s="1"/>
      <c r="L385" s="1"/>
      <c r="M385" s="1"/>
      <c r="N385" s="1"/>
    </row>
    <row r="386" spans="1:14" ht="14.45">
      <c r="A386" s="8" t="s">
        <v>691</v>
      </c>
      <c r="B386" t="s">
        <v>692</v>
      </c>
      <c r="C386" t="s">
        <v>693</v>
      </c>
      <c r="D386" s="25"/>
      <c r="E386" s="62" t="s">
        <v>694</v>
      </c>
      <c r="F386" s="53" t="s">
        <v>61</v>
      </c>
      <c r="G386" s="26"/>
      <c r="H386" s="61" t="s">
        <v>695</v>
      </c>
      <c r="I386" s="55"/>
      <c r="J386" s="53"/>
      <c r="K386" s="56"/>
      <c r="L386" s="56"/>
      <c r="M386" s="53"/>
      <c r="N386" s="53"/>
    </row>
    <row r="387" spans="1:14" ht="14.45">
      <c r="A387" s="8" t="s">
        <v>696</v>
      </c>
      <c r="B387" s="20"/>
      <c r="C387" t="s">
        <v>697</v>
      </c>
      <c r="D387" s="25"/>
      <c r="E387" s="62"/>
      <c r="F387" s="53"/>
      <c r="G387" s="26"/>
      <c r="H387" s="54"/>
      <c r="I387" s="55"/>
      <c r="J387" s="53"/>
      <c r="K387" s="56"/>
      <c r="L387" s="56"/>
      <c r="M387" s="53"/>
      <c r="N387" s="53"/>
    </row>
    <row r="388" spans="1:14" ht="14.45">
      <c r="A388" s="8" t="s">
        <v>698</v>
      </c>
      <c r="B388" s="20"/>
      <c r="C388" t="s">
        <v>699</v>
      </c>
      <c r="D388" s="25"/>
      <c r="E388" s="62"/>
      <c r="F388" s="53"/>
      <c r="G388" s="26"/>
      <c r="H388" s="54"/>
      <c r="I388" s="55"/>
      <c r="J388" s="53"/>
      <c r="K388" s="56"/>
      <c r="L388" s="56"/>
      <c r="M388" s="53"/>
      <c r="N388" s="53"/>
    </row>
    <row r="389" spans="1:14" ht="14.45">
      <c r="A389" s="8" t="s">
        <v>700</v>
      </c>
      <c r="B389" s="20"/>
      <c r="C389" t="s">
        <v>701</v>
      </c>
      <c r="D389" s="25"/>
      <c r="E389" s="62"/>
      <c r="F389" s="53"/>
      <c r="G389" s="26"/>
      <c r="H389" s="54"/>
      <c r="I389" s="55"/>
      <c r="J389" s="53"/>
      <c r="K389" s="56"/>
      <c r="L389" s="56"/>
      <c r="M389" s="53"/>
      <c r="N389" s="53"/>
    </row>
    <row r="390" spans="1:14" ht="14.45">
      <c r="A390" s="8" t="s">
        <v>702</v>
      </c>
      <c r="C390" t="s">
        <v>703</v>
      </c>
      <c r="D390" s="25"/>
      <c r="E390" s="62"/>
      <c r="F390" s="53"/>
      <c r="G390" s="26"/>
      <c r="H390" s="54"/>
      <c r="I390" s="55"/>
      <c r="J390" s="53"/>
      <c r="K390" s="56"/>
      <c r="L390" s="56"/>
      <c r="M390" s="53"/>
      <c r="N390" s="53"/>
    </row>
    <row r="391" spans="1:14" ht="14.45">
      <c r="A391" s="21"/>
      <c r="B391" s="20"/>
      <c r="C391" s="20"/>
      <c r="D391" s="25"/>
      <c r="E391" s="62"/>
      <c r="F391" s="53"/>
      <c r="G391" s="26"/>
      <c r="H391" s="54"/>
      <c r="I391" s="55"/>
      <c r="J391" s="53"/>
      <c r="K391" s="56"/>
      <c r="L391" s="56"/>
      <c r="M391" s="53"/>
      <c r="N391" s="53"/>
    </row>
    <row r="392" spans="1:14" ht="14.45">
      <c r="A392" s="24"/>
      <c r="B392" s="25"/>
      <c r="C392" s="25"/>
      <c r="D392" s="25"/>
      <c r="E392" s="62"/>
      <c r="F392" s="53"/>
      <c r="G392" s="26"/>
      <c r="H392" s="54"/>
      <c r="I392" s="55"/>
      <c r="J392" s="53"/>
      <c r="K392" s="56"/>
      <c r="L392" s="56"/>
      <c r="M392" s="53"/>
      <c r="N392" s="53"/>
    </row>
    <row r="393" spans="1:14" ht="14.45">
      <c r="A393" s="12"/>
      <c r="B393" s="1"/>
      <c r="C393" s="6"/>
      <c r="D393" s="6"/>
      <c r="E393" s="1"/>
      <c r="F393" s="1"/>
      <c r="G393" s="1"/>
      <c r="H393" s="29"/>
      <c r="I393" s="1"/>
      <c r="J393" s="1"/>
      <c r="K393" s="1"/>
      <c r="L393" s="1"/>
      <c r="M393" s="1"/>
      <c r="N393" s="1"/>
    </row>
    <row r="394" spans="1:14" ht="14.45">
      <c r="A394" s="8" t="s">
        <v>704</v>
      </c>
      <c r="B394" t="s">
        <v>705</v>
      </c>
      <c r="C394" t="s">
        <v>706</v>
      </c>
      <c r="D394" s="25"/>
      <c r="E394" s="62" t="s">
        <v>707</v>
      </c>
      <c r="F394" s="53" t="s">
        <v>31</v>
      </c>
      <c r="G394" s="26"/>
      <c r="H394" s="61" t="s">
        <v>708</v>
      </c>
      <c r="I394" s="53"/>
      <c r="J394" s="53"/>
      <c r="K394" s="56"/>
      <c r="L394" s="56"/>
      <c r="M394" s="53"/>
      <c r="N394" s="53"/>
    </row>
    <row r="395" spans="1:14" ht="14.45">
      <c r="A395" s="8" t="s">
        <v>709</v>
      </c>
      <c r="B395" s="20"/>
      <c r="C395" t="s">
        <v>710</v>
      </c>
      <c r="D395" s="25"/>
      <c r="E395" s="62"/>
      <c r="F395" s="53"/>
      <c r="G395" s="26"/>
      <c r="H395" s="54"/>
      <c r="I395" s="53"/>
      <c r="J395" s="53"/>
      <c r="K395" s="56"/>
      <c r="L395" s="56"/>
      <c r="M395" s="53"/>
      <c r="N395" s="53"/>
    </row>
    <row r="396" spans="1:14" ht="14.45">
      <c r="A396" s="8" t="s">
        <v>711</v>
      </c>
      <c r="B396" s="20"/>
      <c r="C396" t="s">
        <v>712</v>
      </c>
      <c r="D396" s="25"/>
      <c r="E396" s="62"/>
      <c r="F396" s="53"/>
      <c r="G396" s="26"/>
      <c r="H396" s="54"/>
      <c r="I396" s="53"/>
      <c r="J396" s="53"/>
      <c r="K396" s="56"/>
      <c r="L396" s="56"/>
      <c r="M396" s="53"/>
      <c r="N396" s="53"/>
    </row>
    <row r="397" spans="1:14" ht="14.45">
      <c r="A397" s="8" t="s">
        <v>713</v>
      </c>
      <c r="B397" s="20"/>
      <c r="C397" t="s">
        <v>714</v>
      </c>
      <c r="D397" s="25"/>
      <c r="E397" s="62"/>
      <c r="F397" s="53"/>
      <c r="G397" s="26"/>
      <c r="H397" s="54"/>
      <c r="I397" s="53"/>
      <c r="J397" s="53"/>
      <c r="K397" s="56"/>
      <c r="L397" s="56"/>
      <c r="M397" s="53"/>
      <c r="N397" s="53"/>
    </row>
    <row r="398" spans="1:14" ht="14.45">
      <c r="A398" s="8"/>
      <c r="B398" s="20"/>
      <c r="C398" s="20"/>
      <c r="D398" s="25"/>
      <c r="E398" s="62"/>
      <c r="F398" s="53"/>
      <c r="G398" s="26"/>
      <c r="H398" s="54"/>
      <c r="I398" s="53"/>
      <c r="J398" s="53"/>
      <c r="K398" s="56"/>
      <c r="L398" s="56"/>
      <c r="M398" s="53"/>
      <c r="N398" s="53"/>
    </row>
    <row r="399" spans="1:14" ht="14.45">
      <c r="A399" s="8"/>
      <c r="E399" s="62"/>
      <c r="F399" s="53"/>
      <c r="G399" s="26"/>
      <c r="H399" s="54"/>
      <c r="I399" s="53"/>
      <c r="J399" s="53"/>
      <c r="K399" s="56"/>
      <c r="L399" s="56"/>
      <c r="M399" s="53"/>
      <c r="N399" s="53"/>
    </row>
    <row r="400" spans="1:14">
      <c r="A400" s="11"/>
      <c r="B400" s="7"/>
      <c r="C400" s="7"/>
      <c r="E400" s="62"/>
      <c r="F400" s="53"/>
      <c r="G400" s="26"/>
      <c r="H400" s="54"/>
      <c r="I400" s="53"/>
      <c r="J400" s="53"/>
      <c r="K400" s="56"/>
      <c r="L400" s="56"/>
      <c r="M400" s="53"/>
      <c r="N400" s="53"/>
    </row>
    <row r="401" spans="1:14" ht="14.45">
      <c r="A401" s="12"/>
      <c r="B401" s="1"/>
      <c r="C401" s="6"/>
      <c r="D401" s="6"/>
      <c r="E401" s="1"/>
      <c r="F401" s="1"/>
      <c r="G401" s="1"/>
      <c r="H401" s="29"/>
      <c r="I401" s="1"/>
      <c r="J401" s="1"/>
      <c r="K401" s="1"/>
      <c r="L401" s="1"/>
      <c r="M401" s="1"/>
      <c r="N401" s="1"/>
    </row>
    <row r="402" spans="1:14" ht="14.45">
      <c r="A402" s="8" t="s">
        <v>715</v>
      </c>
      <c r="B402" t="s">
        <v>716</v>
      </c>
      <c r="C402" t="s">
        <v>717</v>
      </c>
      <c r="D402" s="25"/>
      <c r="E402" s="62" t="s">
        <v>718</v>
      </c>
      <c r="F402" s="53" t="s">
        <v>252</v>
      </c>
      <c r="G402" s="26"/>
      <c r="H402" s="61" t="s">
        <v>719</v>
      </c>
      <c r="I402" s="53"/>
      <c r="J402" s="53"/>
      <c r="K402" s="56"/>
      <c r="L402" s="56"/>
      <c r="M402" s="53"/>
      <c r="N402" s="53"/>
    </row>
    <row r="403" spans="1:14" ht="14.45">
      <c r="A403" s="8" t="s">
        <v>720</v>
      </c>
      <c r="B403" s="20"/>
      <c r="C403" t="s">
        <v>721</v>
      </c>
      <c r="D403" s="25"/>
      <c r="E403" s="62"/>
      <c r="F403" s="53"/>
      <c r="G403" s="26"/>
      <c r="H403" s="54"/>
      <c r="I403" s="53"/>
      <c r="J403" s="53"/>
      <c r="K403" s="56"/>
      <c r="L403" s="56"/>
      <c r="M403" s="53"/>
      <c r="N403" s="53"/>
    </row>
    <row r="404" spans="1:14" ht="14.45">
      <c r="A404" s="8" t="s">
        <v>722</v>
      </c>
      <c r="B404" s="20"/>
      <c r="C404" t="s">
        <v>723</v>
      </c>
      <c r="D404" s="25"/>
      <c r="E404" s="62"/>
      <c r="F404" s="53"/>
      <c r="G404" s="26"/>
      <c r="H404" s="54"/>
      <c r="I404" s="53"/>
      <c r="J404" s="53"/>
      <c r="K404" s="56"/>
      <c r="L404" s="56"/>
      <c r="M404" s="53"/>
      <c r="N404" s="53"/>
    </row>
    <row r="405" spans="1:14" ht="14.45">
      <c r="A405" s="8" t="s">
        <v>724</v>
      </c>
      <c r="B405" s="20"/>
      <c r="C405" t="s">
        <v>725</v>
      </c>
      <c r="D405" s="25"/>
      <c r="E405" s="62"/>
      <c r="F405" s="53"/>
      <c r="G405" s="26"/>
      <c r="H405" s="54"/>
      <c r="I405" s="53"/>
      <c r="J405" s="53"/>
      <c r="K405" s="56"/>
      <c r="L405" s="56"/>
      <c r="M405" s="53"/>
      <c r="N405" s="53"/>
    </row>
    <row r="406" spans="1:14" ht="14.45">
      <c r="A406" s="8"/>
      <c r="B406" s="20"/>
      <c r="C406" s="20"/>
      <c r="D406" s="25"/>
      <c r="E406" s="62"/>
      <c r="F406" s="53"/>
      <c r="G406" s="26"/>
      <c r="H406" s="54"/>
      <c r="I406" s="53"/>
      <c r="J406" s="53"/>
      <c r="K406" s="56"/>
      <c r="L406" s="56"/>
      <c r="M406" s="53"/>
      <c r="N406" s="53"/>
    </row>
    <row r="407" spans="1:14" ht="14.45">
      <c r="A407" s="8"/>
      <c r="E407" s="62"/>
      <c r="F407" s="53"/>
      <c r="G407" s="26"/>
      <c r="H407" s="54"/>
      <c r="I407" s="53"/>
      <c r="J407" s="53"/>
      <c r="K407" s="56"/>
      <c r="L407" s="56"/>
      <c r="M407" s="53"/>
      <c r="N407" s="53"/>
    </row>
    <row r="408" spans="1:14">
      <c r="A408" s="11"/>
      <c r="B408" s="7"/>
      <c r="C408" s="7"/>
      <c r="E408" s="62"/>
      <c r="F408" s="53"/>
      <c r="G408" s="26"/>
      <c r="H408" s="54"/>
      <c r="I408" s="53"/>
      <c r="J408" s="53"/>
      <c r="K408" s="56"/>
      <c r="L408" s="56"/>
      <c r="M408" s="53"/>
      <c r="N408" s="53"/>
    </row>
    <row r="409" spans="1:14" ht="14.45">
      <c r="A409" s="12"/>
      <c r="B409" s="1"/>
      <c r="C409" s="6"/>
      <c r="D409" s="6"/>
      <c r="E409" s="1"/>
      <c r="F409" s="1"/>
      <c r="G409" s="1"/>
      <c r="H409" s="29"/>
      <c r="I409" s="1"/>
      <c r="J409" s="1"/>
      <c r="K409" s="1"/>
      <c r="L409" s="1"/>
      <c r="M409" s="1"/>
      <c r="N409" s="1"/>
    </row>
    <row r="410" spans="1:14" ht="14.45">
      <c r="A410" s="8" t="s">
        <v>726</v>
      </c>
      <c r="B410" t="s">
        <v>727</v>
      </c>
      <c r="C410" t="s">
        <v>728</v>
      </c>
      <c r="D410" s="25"/>
      <c r="E410" s="62" t="s">
        <v>729</v>
      </c>
      <c r="F410" s="53" t="s">
        <v>108</v>
      </c>
      <c r="G410" s="26"/>
      <c r="H410" s="61" t="s">
        <v>730</v>
      </c>
      <c r="I410" s="53"/>
      <c r="J410" s="53"/>
      <c r="K410" s="56"/>
      <c r="L410" s="56"/>
      <c r="M410" s="53"/>
      <c r="N410" s="53"/>
    </row>
    <row r="411" spans="1:14" ht="14.45">
      <c r="A411" s="8" t="s">
        <v>731</v>
      </c>
      <c r="B411" s="20"/>
      <c r="C411" t="s">
        <v>732</v>
      </c>
      <c r="D411" s="25"/>
      <c r="E411" s="62"/>
      <c r="F411" s="53"/>
      <c r="G411" s="26"/>
      <c r="H411" s="54"/>
      <c r="I411" s="53"/>
      <c r="J411" s="53"/>
      <c r="K411" s="56"/>
      <c r="L411" s="56"/>
      <c r="M411" s="53"/>
      <c r="N411" s="53"/>
    </row>
    <row r="412" spans="1:14" ht="14.45">
      <c r="A412" s="8" t="s">
        <v>733</v>
      </c>
      <c r="B412" s="20"/>
      <c r="C412" t="s">
        <v>734</v>
      </c>
      <c r="D412" s="25"/>
      <c r="E412" s="62"/>
      <c r="F412" s="53"/>
      <c r="G412" s="26"/>
      <c r="H412" s="54"/>
      <c r="I412" s="53"/>
      <c r="J412" s="53"/>
      <c r="K412" s="56"/>
      <c r="L412" s="56"/>
      <c r="M412" s="53"/>
      <c r="N412" s="53"/>
    </row>
    <row r="413" spans="1:14" ht="14.45">
      <c r="A413" s="8" t="s">
        <v>735</v>
      </c>
      <c r="B413" s="20"/>
      <c r="C413" t="s">
        <v>736</v>
      </c>
      <c r="D413" s="25"/>
      <c r="E413" s="62"/>
      <c r="F413" s="53"/>
      <c r="G413" s="26"/>
      <c r="H413" s="54"/>
      <c r="I413" s="53"/>
      <c r="J413" s="53"/>
      <c r="K413" s="56"/>
      <c r="L413" s="56"/>
      <c r="M413" s="53"/>
      <c r="N413" s="53"/>
    </row>
    <row r="414" spans="1:14" ht="14.45">
      <c r="A414" s="8" t="s">
        <v>737</v>
      </c>
      <c r="C414" t="s">
        <v>738</v>
      </c>
      <c r="E414" s="62"/>
      <c r="F414" s="53"/>
      <c r="G414" s="26"/>
      <c r="H414" s="54"/>
      <c r="I414" s="53"/>
      <c r="J414" s="53"/>
      <c r="K414" s="56"/>
      <c r="L414" s="56"/>
      <c r="M414" s="53"/>
      <c r="N414" s="53"/>
    </row>
    <row r="415" spans="1:14" ht="14.45">
      <c r="A415" s="8"/>
      <c r="E415" s="62"/>
      <c r="F415" s="53"/>
      <c r="G415" s="26"/>
      <c r="H415" s="54"/>
      <c r="I415" s="53"/>
      <c r="J415" s="53"/>
      <c r="K415" s="56"/>
      <c r="L415" s="56"/>
      <c r="M415" s="53"/>
      <c r="N415" s="53"/>
    </row>
    <row r="416" spans="1:14">
      <c r="A416" s="11"/>
      <c r="B416" s="7"/>
      <c r="C416" s="7"/>
      <c r="E416" s="62"/>
      <c r="F416" s="53"/>
      <c r="G416" s="26"/>
      <c r="H416" s="54"/>
      <c r="I416" s="53"/>
      <c r="J416" s="53"/>
      <c r="K416" s="56"/>
      <c r="L416" s="56"/>
      <c r="M416" s="53"/>
      <c r="N416" s="53"/>
    </row>
    <row r="417" spans="1:14" ht="14.45">
      <c r="A417" s="12"/>
      <c r="B417" s="1"/>
      <c r="C417" s="6"/>
      <c r="D417" s="6"/>
      <c r="E417" s="1"/>
      <c r="F417" s="1"/>
      <c r="G417" s="1"/>
      <c r="H417" s="29"/>
      <c r="I417" s="1"/>
      <c r="J417" s="1"/>
      <c r="K417" s="1"/>
      <c r="L417" s="1"/>
      <c r="M417" s="1"/>
      <c r="N417" s="1"/>
    </row>
    <row r="418" spans="1:14" ht="14.45">
      <c r="A418" s="8" t="s">
        <v>739</v>
      </c>
      <c r="B418" t="s">
        <v>740</v>
      </c>
      <c r="C418" t="s">
        <v>741</v>
      </c>
      <c r="D418" s="25"/>
      <c r="E418" s="62" t="s">
        <v>742</v>
      </c>
      <c r="F418" s="53" t="s">
        <v>74</v>
      </c>
      <c r="G418" s="26"/>
      <c r="H418" s="61" t="s">
        <v>743</v>
      </c>
      <c r="I418" s="53"/>
      <c r="J418" s="53"/>
      <c r="K418" s="56"/>
      <c r="L418" s="56"/>
      <c r="M418" s="53"/>
      <c r="N418" s="53"/>
    </row>
    <row r="419" spans="1:14" ht="14.45">
      <c r="A419" s="8" t="s">
        <v>744</v>
      </c>
      <c r="B419" s="20"/>
      <c r="C419" t="s">
        <v>745</v>
      </c>
      <c r="D419" s="25"/>
      <c r="E419" s="62"/>
      <c r="F419" s="53"/>
      <c r="G419" s="26"/>
      <c r="H419" s="54"/>
      <c r="I419" s="53"/>
      <c r="J419" s="53"/>
      <c r="K419" s="56"/>
      <c r="L419" s="56"/>
      <c r="M419" s="53"/>
      <c r="N419" s="53"/>
    </row>
    <row r="420" spans="1:14" ht="14.45">
      <c r="A420" s="8" t="s">
        <v>746</v>
      </c>
      <c r="B420" s="20"/>
      <c r="C420" t="s">
        <v>747</v>
      </c>
      <c r="D420" s="25"/>
      <c r="E420" s="62"/>
      <c r="F420" s="53"/>
      <c r="G420" s="26"/>
      <c r="H420" s="54"/>
      <c r="I420" s="53"/>
      <c r="J420" s="53"/>
      <c r="K420" s="56"/>
      <c r="L420" s="56"/>
      <c r="M420" s="53"/>
      <c r="N420" s="53"/>
    </row>
    <row r="421" spans="1:14" ht="14.45">
      <c r="A421" s="8" t="s">
        <v>748</v>
      </c>
      <c r="B421" s="20"/>
      <c r="C421" t="s">
        <v>749</v>
      </c>
      <c r="D421" s="25"/>
      <c r="E421" s="62"/>
      <c r="F421" s="53"/>
      <c r="G421" s="26"/>
      <c r="H421" s="54"/>
      <c r="I421" s="53"/>
      <c r="J421" s="53"/>
      <c r="K421" s="56"/>
      <c r="L421" s="56"/>
      <c r="M421" s="53"/>
      <c r="N421" s="53"/>
    </row>
    <row r="422" spans="1:14" ht="14.45">
      <c r="A422" s="8" t="s">
        <v>750</v>
      </c>
      <c r="B422" s="20"/>
      <c r="C422" t="s">
        <v>751</v>
      </c>
      <c r="D422" s="25"/>
      <c r="E422" s="62"/>
      <c r="F422" s="53"/>
      <c r="G422" s="26"/>
      <c r="H422" s="54"/>
      <c r="I422" s="53"/>
      <c r="J422" s="53"/>
      <c r="K422" s="56"/>
      <c r="L422" s="56"/>
      <c r="M422" s="53"/>
      <c r="N422" s="53"/>
    </row>
    <row r="423" spans="1:14" ht="14.45">
      <c r="A423" s="8">
        <v>231002013</v>
      </c>
      <c r="C423" t="s">
        <v>752</v>
      </c>
      <c r="E423" s="62"/>
      <c r="F423" s="53"/>
      <c r="G423" s="26"/>
      <c r="H423" s="54"/>
      <c r="I423" s="53"/>
      <c r="J423" s="53"/>
      <c r="K423" s="56"/>
      <c r="L423" s="56"/>
      <c r="M423" s="53"/>
      <c r="N423" s="53"/>
    </row>
    <row r="424" spans="1:14">
      <c r="A424" s="11"/>
      <c r="B424" s="7"/>
      <c r="C424" s="7"/>
      <c r="E424" s="62"/>
      <c r="F424" s="53"/>
      <c r="G424" s="26"/>
      <c r="H424" s="54"/>
      <c r="I424" s="53"/>
      <c r="J424" s="53"/>
      <c r="K424" s="56"/>
      <c r="L424" s="56"/>
      <c r="M424" s="53"/>
      <c r="N424" s="53"/>
    </row>
    <row r="425" spans="1:14" ht="14.45">
      <c r="A425" s="12"/>
      <c r="B425" s="1"/>
      <c r="C425" s="6"/>
      <c r="D425" s="6"/>
      <c r="E425" s="1"/>
      <c r="F425" s="1"/>
      <c r="G425" s="1"/>
      <c r="H425" s="29"/>
      <c r="I425" s="1"/>
      <c r="J425" s="1"/>
      <c r="K425" s="1"/>
      <c r="L425" s="1"/>
      <c r="M425" s="1"/>
      <c r="N425" s="1"/>
    </row>
    <row r="426" spans="1:14" ht="14.45">
      <c r="A426" s="8" t="s">
        <v>753</v>
      </c>
      <c r="B426" t="s">
        <v>754</v>
      </c>
      <c r="C426" t="s">
        <v>755</v>
      </c>
      <c r="D426" s="25"/>
      <c r="E426" s="62" t="s">
        <v>756</v>
      </c>
      <c r="F426" s="53" t="s">
        <v>632</v>
      </c>
      <c r="G426" s="26"/>
      <c r="H426" s="61" t="s">
        <v>757</v>
      </c>
      <c r="I426" s="53"/>
      <c r="J426" s="53"/>
      <c r="K426" s="56"/>
      <c r="L426" s="56"/>
      <c r="M426" s="53"/>
      <c r="N426" s="53"/>
    </row>
    <row r="427" spans="1:14" ht="14.45">
      <c r="A427" s="8" t="s">
        <v>758</v>
      </c>
      <c r="B427" s="20"/>
      <c r="C427" t="s">
        <v>759</v>
      </c>
      <c r="D427" s="25"/>
      <c r="E427" s="62"/>
      <c r="F427" s="53"/>
      <c r="G427" s="26"/>
      <c r="H427" s="54"/>
      <c r="I427" s="53"/>
      <c r="J427" s="53"/>
      <c r="K427" s="56"/>
      <c r="L427" s="56"/>
      <c r="M427" s="53"/>
      <c r="N427" s="53"/>
    </row>
    <row r="428" spans="1:14" ht="14.45">
      <c r="A428" s="8" t="s">
        <v>760</v>
      </c>
      <c r="B428" s="20"/>
      <c r="C428" t="s">
        <v>761</v>
      </c>
      <c r="D428" s="25"/>
      <c r="E428" s="62"/>
      <c r="F428" s="53"/>
      <c r="G428" s="26"/>
      <c r="H428" s="54"/>
      <c r="I428" s="53"/>
      <c r="J428" s="53"/>
      <c r="K428" s="56"/>
      <c r="L428" s="56"/>
      <c r="M428" s="53"/>
      <c r="N428" s="53"/>
    </row>
    <row r="429" spans="1:14" ht="14.45">
      <c r="A429" s="8"/>
      <c r="B429" s="20"/>
      <c r="D429" s="25"/>
      <c r="E429" s="62"/>
      <c r="F429" s="53"/>
      <c r="G429" s="26"/>
      <c r="H429" s="54"/>
      <c r="I429" s="53"/>
      <c r="J429" s="53"/>
      <c r="K429" s="56"/>
      <c r="L429" s="56"/>
      <c r="M429" s="53"/>
      <c r="N429" s="53"/>
    </row>
    <row r="430" spans="1:14" ht="14.45">
      <c r="A430" s="8"/>
      <c r="B430" s="20"/>
      <c r="D430" s="25"/>
      <c r="E430" s="62"/>
      <c r="F430" s="53"/>
      <c r="G430" s="26"/>
      <c r="H430" s="54"/>
      <c r="I430" s="53"/>
      <c r="J430" s="53"/>
      <c r="K430" s="56"/>
      <c r="L430" s="56"/>
      <c r="M430" s="53"/>
      <c r="N430" s="53"/>
    </row>
    <row r="431" spans="1:14" ht="14.45">
      <c r="A431" s="8"/>
      <c r="B431" s="20"/>
      <c r="C431" s="20"/>
      <c r="D431" s="25"/>
      <c r="E431" s="62"/>
      <c r="F431" s="53"/>
      <c r="G431" s="26"/>
      <c r="H431" s="54"/>
      <c r="I431" s="53"/>
      <c r="J431" s="53"/>
      <c r="K431" s="56"/>
      <c r="L431" s="56"/>
      <c r="M431" s="53"/>
      <c r="N431" s="53"/>
    </row>
    <row r="432" spans="1:14">
      <c r="A432" s="11"/>
      <c r="B432" s="7"/>
      <c r="C432" s="7"/>
      <c r="E432" s="62"/>
      <c r="F432" s="53"/>
      <c r="G432" s="26"/>
      <c r="H432" s="54"/>
      <c r="I432" s="53"/>
      <c r="J432" s="53"/>
      <c r="K432" s="56"/>
      <c r="L432" s="56"/>
      <c r="M432" s="53"/>
      <c r="N432" s="53"/>
    </row>
    <row r="433" spans="1:14" ht="14.45">
      <c r="A433" s="12"/>
      <c r="B433" s="1"/>
      <c r="C433" s="6"/>
      <c r="D433" s="6"/>
      <c r="E433" s="1"/>
      <c r="F433" s="1"/>
      <c r="G433" s="1"/>
      <c r="H433" s="29"/>
      <c r="I433" s="1"/>
      <c r="J433" s="1"/>
      <c r="K433" s="1"/>
      <c r="L433" s="1"/>
      <c r="M433" s="1"/>
      <c r="N433" s="1"/>
    </row>
    <row r="434" spans="1:14" ht="14.45">
      <c r="A434" s="20">
        <v>221000289</v>
      </c>
      <c r="B434" t="s">
        <v>762</v>
      </c>
      <c r="C434" s="42" t="s">
        <v>763</v>
      </c>
      <c r="D434" s="25"/>
      <c r="E434" s="52" t="s">
        <v>764</v>
      </c>
      <c r="F434" s="53" t="s">
        <v>252</v>
      </c>
      <c r="G434" s="26"/>
      <c r="H434" s="61" t="s">
        <v>765</v>
      </c>
      <c r="I434" s="53"/>
      <c r="J434" s="53"/>
      <c r="K434" s="56"/>
      <c r="L434" s="56"/>
      <c r="M434" s="53"/>
      <c r="N434" s="53"/>
    </row>
    <row r="435" spans="1:14" ht="14.45">
      <c r="A435" s="20">
        <v>202000853</v>
      </c>
      <c r="B435" t="s">
        <v>766</v>
      </c>
      <c r="C435" s="42" t="s">
        <v>767</v>
      </c>
      <c r="D435" s="25"/>
      <c r="E435" s="52"/>
      <c r="F435" s="53"/>
      <c r="G435" s="26"/>
      <c r="H435" s="54"/>
      <c r="I435" s="53"/>
      <c r="J435" s="53"/>
      <c r="K435" s="56"/>
      <c r="L435" s="56"/>
      <c r="M435" s="53"/>
      <c r="N435" s="53"/>
    </row>
    <row r="436" spans="1:14" ht="14.45">
      <c r="A436" s="20">
        <v>231002081</v>
      </c>
      <c r="B436" t="s">
        <v>768</v>
      </c>
      <c r="C436" s="42" t="s">
        <v>769</v>
      </c>
      <c r="D436" s="25"/>
      <c r="E436" s="52"/>
      <c r="F436" s="53"/>
      <c r="G436" s="26"/>
      <c r="H436" s="54"/>
      <c r="I436" s="53"/>
      <c r="J436" s="53"/>
      <c r="K436" s="56"/>
      <c r="L436" s="56"/>
      <c r="M436" s="53"/>
      <c r="N436" s="53"/>
    </row>
    <row r="437" spans="1:14">
      <c r="A437" s="20">
        <v>231002030</v>
      </c>
      <c r="B437" t="s">
        <v>770</v>
      </c>
      <c r="C437" s="42" t="s">
        <v>771</v>
      </c>
      <c r="D437" s="25"/>
      <c r="E437" s="52"/>
      <c r="F437" s="53"/>
      <c r="G437" s="26"/>
      <c r="H437" s="54"/>
      <c r="I437" s="53"/>
      <c r="J437" s="53"/>
      <c r="K437" s="56"/>
      <c r="L437" s="56"/>
      <c r="M437" s="53"/>
      <c r="N437" s="53"/>
    </row>
    <row r="438" spans="1:14">
      <c r="D438" s="25"/>
      <c r="E438" s="52"/>
      <c r="F438" s="53"/>
      <c r="G438" s="26"/>
      <c r="H438" s="54"/>
      <c r="I438" s="53"/>
      <c r="J438" s="53"/>
      <c r="K438" s="56"/>
      <c r="L438" s="56"/>
      <c r="M438" s="53"/>
      <c r="N438" s="53"/>
    </row>
    <row r="439" spans="1:14">
      <c r="A439" s="51"/>
      <c r="B439" s="20"/>
      <c r="C439" s="20"/>
      <c r="D439" s="25"/>
      <c r="E439" s="52"/>
      <c r="F439" s="53"/>
      <c r="G439" s="26"/>
      <c r="H439" s="54"/>
      <c r="I439" s="53"/>
      <c r="J439" s="53"/>
      <c r="K439" s="56"/>
      <c r="L439" s="56"/>
      <c r="M439" s="53"/>
      <c r="N439" s="53"/>
    </row>
    <row r="440" spans="1:14">
      <c r="A440" s="11"/>
      <c r="B440" s="7"/>
      <c r="C440" s="7"/>
      <c r="E440" s="52"/>
      <c r="F440" s="53"/>
      <c r="G440" s="26"/>
      <c r="H440" s="54"/>
      <c r="I440" s="53"/>
      <c r="J440" s="53"/>
      <c r="K440" s="56"/>
      <c r="L440" s="56"/>
      <c r="M440" s="53"/>
      <c r="N440" s="53"/>
    </row>
    <row r="441" spans="1:14" ht="14.45">
      <c r="A441" s="12"/>
      <c r="B441" s="1"/>
      <c r="C441" s="6"/>
      <c r="D441" s="6"/>
      <c r="E441" s="1"/>
      <c r="F441" s="1"/>
      <c r="G441" s="1"/>
      <c r="H441" s="29"/>
      <c r="I441" s="1"/>
      <c r="J441" s="1"/>
      <c r="K441" s="1"/>
      <c r="L441" s="1"/>
      <c r="M441" s="1"/>
      <c r="N441" s="1"/>
    </row>
    <row r="442" spans="1:14">
      <c r="A442" s="47">
        <v>211001802</v>
      </c>
      <c r="B442" s="43" t="s">
        <v>772</v>
      </c>
      <c r="C442" s="44" t="s">
        <v>773</v>
      </c>
      <c r="D442" s="25"/>
      <c r="E442" s="52" t="s">
        <v>774</v>
      </c>
      <c r="F442" s="53" t="s">
        <v>123</v>
      </c>
      <c r="G442" s="26"/>
      <c r="H442" s="61" t="s">
        <v>775</v>
      </c>
      <c r="I442" s="53"/>
      <c r="J442" s="53"/>
      <c r="K442" s="56"/>
      <c r="L442" s="56"/>
      <c r="M442" s="53"/>
      <c r="N442" s="53"/>
    </row>
    <row r="443" spans="1:14">
      <c r="A443" s="47">
        <v>222000062</v>
      </c>
      <c r="B443" s="43" t="s">
        <v>776</v>
      </c>
      <c r="C443" s="44" t="s">
        <v>777</v>
      </c>
      <c r="D443" s="25"/>
      <c r="E443" s="52"/>
      <c r="F443" s="53"/>
      <c r="G443" s="26"/>
      <c r="H443" s="54"/>
      <c r="I443" s="53"/>
      <c r="J443" s="53"/>
      <c r="K443" s="56"/>
      <c r="L443" s="56"/>
      <c r="M443" s="53"/>
      <c r="N443" s="53"/>
    </row>
    <row r="444" spans="1:14">
      <c r="A444" s="47">
        <v>221001621</v>
      </c>
      <c r="B444" s="43" t="s">
        <v>778</v>
      </c>
      <c r="C444" s="44" t="s">
        <v>779</v>
      </c>
      <c r="D444" s="25"/>
      <c r="E444" s="52"/>
      <c r="F444" s="53"/>
      <c r="G444" s="26"/>
      <c r="H444" s="54"/>
      <c r="I444" s="53"/>
      <c r="J444" s="53"/>
      <c r="K444" s="56"/>
      <c r="L444" s="56"/>
      <c r="M444" s="53"/>
      <c r="N444" s="53"/>
    </row>
    <row r="445" spans="1:14" ht="14.45">
      <c r="A445" s="8"/>
      <c r="B445" s="20"/>
      <c r="C445" s="20"/>
      <c r="D445" s="25"/>
      <c r="E445" s="52"/>
      <c r="F445" s="53"/>
      <c r="G445" s="26"/>
      <c r="H445" s="54"/>
      <c r="I445" s="53"/>
      <c r="J445" s="53"/>
      <c r="K445" s="56"/>
      <c r="L445" s="56"/>
      <c r="M445" s="53"/>
      <c r="N445" s="53"/>
    </row>
    <row r="446" spans="1:14" ht="14.45">
      <c r="A446" s="22"/>
      <c r="B446" s="24"/>
      <c r="C446" s="24"/>
      <c r="D446" s="25"/>
      <c r="E446" s="52"/>
      <c r="F446" s="53"/>
      <c r="G446" s="26"/>
      <c r="H446" s="54"/>
      <c r="I446" s="53"/>
      <c r="J446" s="53"/>
      <c r="K446" s="56"/>
      <c r="L446" s="56"/>
      <c r="M446" s="53"/>
      <c r="N446" s="53"/>
    </row>
    <row r="447" spans="1:14" ht="14.45">
      <c r="A447" s="22"/>
      <c r="B447" s="23"/>
      <c r="C447" s="23"/>
      <c r="D447" s="25"/>
      <c r="E447" s="52"/>
      <c r="F447" s="53"/>
      <c r="G447" s="26"/>
      <c r="H447" s="54"/>
      <c r="I447" s="53"/>
      <c r="J447" s="53"/>
      <c r="K447" s="56"/>
      <c r="L447" s="56"/>
      <c r="M447" s="53"/>
      <c r="N447" s="53"/>
    </row>
    <row r="448" spans="1:14" ht="14.45">
      <c r="E448" s="52"/>
      <c r="F448" s="53"/>
      <c r="G448" s="26"/>
      <c r="H448" s="54"/>
      <c r="I448" s="53"/>
      <c r="J448" s="53"/>
      <c r="K448" s="56"/>
      <c r="L448" s="56"/>
      <c r="M448" s="53"/>
      <c r="N448" s="53"/>
    </row>
    <row r="449" spans="1:14" ht="14.45">
      <c r="A449" s="12"/>
      <c r="B449" s="1"/>
      <c r="C449" s="6"/>
      <c r="D449" s="6"/>
      <c r="E449" s="1"/>
      <c r="F449" s="1"/>
      <c r="G449" s="1"/>
      <c r="H449" s="29"/>
      <c r="I449" s="1"/>
      <c r="J449" s="1"/>
      <c r="K449" s="1"/>
      <c r="L449" s="1"/>
      <c r="M449" s="1"/>
      <c r="N449" s="1"/>
    </row>
    <row r="450" spans="1:14">
      <c r="A450" s="47">
        <v>2310000173</v>
      </c>
      <c r="B450" s="43" t="s">
        <v>780</v>
      </c>
      <c r="C450" s="44" t="s">
        <v>781</v>
      </c>
      <c r="D450" s="25"/>
      <c r="E450" s="52" t="s">
        <v>782</v>
      </c>
      <c r="F450" s="53" t="s">
        <v>108</v>
      </c>
      <c r="G450" s="26"/>
      <c r="H450" s="61" t="s">
        <v>783</v>
      </c>
      <c r="I450" s="53"/>
      <c r="J450" s="53"/>
      <c r="K450" s="56"/>
      <c r="L450" s="56"/>
      <c r="M450" s="53"/>
      <c r="N450" s="53"/>
    </row>
    <row r="451" spans="1:14">
      <c r="A451" s="47">
        <v>202001647</v>
      </c>
      <c r="B451" s="43" t="s">
        <v>784</v>
      </c>
      <c r="C451" s="44" t="s">
        <v>785</v>
      </c>
      <c r="D451" s="25"/>
      <c r="E451" s="52"/>
      <c r="F451" s="53"/>
      <c r="G451" s="26"/>
      <c r="H451" s="54"/>
      <c r="I451" s="53"/>
      <c r="J451" s="53"/>
      <c r="K451" s="56"/>
      <c r="L451" s="56"/>
      <c r="M451" s="53"/>
      <c r="N451" s="53"/>
    </row>
    <row r="452" spans="1:14">
      <c r="A452" s="47">
        <v>221000769</v>
      </c>
      <c r="B452" s="43" t="s">
        <v>786</v>
      </c>
      <c r="C452" s="44" t="s">
        <v>787</v>
      </c>
      <c r="D452" s="25"/>
      <c r="E452" s="52"/>
      <c r="F452" s="53"/>
      <c r="G452" s="26"/>
      <c r="H452" s="54"/>
      <c r="I452" s="53"/>
      <c r="J452" s="53"/>
      <c r="K452" s="56"/>
      <c r="L452" s="56"/>
      <c r="M452" s="53"/>
      <c r="N452" s="53"/>
    </row>
    <row r="453" spans="1:14">
      <c r="A453" s="47">
        <v>231000834</v>
      </c>
      <c r="B453" s="43" t="s">
        <v>788</v>
      </c>
      <c r="C453" s="44" t="s">
        <v>789</v>
      </c>
      <c r="D453" s="25"/>
      <c r="E453" s="52"/>
      <c r="F453" s="53"/>
      <c r="G453" s="26"/>
      <c r="H453" s="54"/>
      <c r="I453" s="53"/>
      <c r="J453" s="53"/>
      <c r="K453" s="56"/>
      <c r="L453" s="56"/>
      <c r="M453" s="53"/>
      <c r="N453" s="53"/>
    </row>
    <row r="454" spans="1:14">
      <c r="A454" s="22">
        <v>211001937</v>
      </c>
      <c r="B454" s="23" t="s">
        <v>790</v>
      </c>
      <c r="C454" s="46" t="s">
        <v>791</v>
      </c>
      <c r="D454" s="25"/>
      <c r="E454" s="52"/>
      <c r="F454" s="53"/>
      <c r="G454" s="26"/>
      <c r="H454" s="54"/>
      <c r="I454" s="53"/>
      <c r="J454" s="53"/>
      <c r="K454" s="56"/>
      <c r="L454" s="56"/>
      <c r="M454" s="53"/>
      <c r="N454" s="53"/>
    </row>
    <row r="455" spans="1:14">
      <c r="A455" s="47">
        <v>231001111</v>
      </c>
      <c r="B455" s="43" t="s">
        <v>792</v>
      </c>
      <c r="C455" s="44" t="s">
        <v>793</v>
      </c>
      <c r="E455" s="52"/>
      <c r="F455" s="53"/>
      <c r="G455" s="26"/>
      <c r="H455" s="54"/>
      <c r="I455" s="53"/>
      <c r="J455" s="53"/>
      <c r="K455" s="56"/>
      <c r="L455" s="56"/>
      <c r="M455" s="53"/>
      <c r="N455" s="53"/>
    </row>
    <row r="456" spans="1:14">
      <c r="A456" s="11"/>
      <c r="B456" s="7"/>
      <c r="C456" s="7"/>
      <c r="E456" s="52"/>
      <c r="F456" s="53"/>
      <c r="G456" s="26"/>
      <c r="H456" s="54"/>
      <c r="I456" s="53"/>
      <c r="J456" s="53"/>
      <c r="K456" s="56"/>
      <c r="L456" s="56"/>
      <c r="M456" s="53"/>
      <c r="N456" s="53"/>
    </row>
    <row r="457" spans="1:14" ht="14.45">
      <c r="A457" s="12"/>
      <c r="B457" s="1"/>
      <c r="C457" s="6"/>
      <c r="D457" s="6"/>
      <c r="E457" s="1"/>
      <c r="F457" s="1"/>
      <c r="G457" s="1"/>
      <c r="H457" s="29"/>
      <c r="I457" s="1"/>
      <c r="J457" s="1"/>
      <c r="K457" s="1"/>
      <c r="L457" s="1"/>
      <c r="M457" s="1"/>
      <c r="N457" s="1"/>
    </row>
    <row r="458" spans="1:14">
      <c r="A458" s="47">
        <v>231000166</v>
      </c>
      <c r="B458" s="43" t="s">
        <v>794</v>
      </c>
      <c r="C458" s="44" t="s">
        <v>795</v>
      </c>
      <c r="D458" s="25"/>
      <c r="E458" s="52" t="s">
        <v>796</v>
      </c>
      <c r="F458" s="53" t="s">
        <v>167</v>
      </c>
      <c r="G458" s="26"/>
      <c r="H458" s="61" t="s">
        <v>797</v>
      </c>
      <c r="I458" s="53"/>
      <c r="J458" s="53"/>
      <c r="K458" s="56"/>
      <c r="L458" s="56"/>
      <c r="M458" s="53"/>
      <c r="N458" s="53"/>
    </row>
    <row r="459" spans="1:14">
      <c r="A459" s="47">
        <v>211001824</v>
      </c>
      <c r="B459" s="43" t="s">
        <v>798</v>
      </c>
      <c r="C459" s="44" t="s">
        <v>799</v>
      </c>
      <c r="D459" s="25"/>
      <c r="E459" s="52"/>
      <c r="F459" s="53"/>
      <c r="G459" s="26"/>
      <c r="H459" s="54"/>
      <c r="I459" s="53"/>
      <c r="J459" s="53"/>
      <c r="K459" s="56"/>
      <c r="L459" s="56"/>
      <c r="M459" s="53"/>
      <c r="N459" s="53"/>
    </row>
    <row r="460" spans="1:14">
      <c r="A460" s="47">
        <v>222000112</v>
      </c>
      <c r="B460" s="43" t="s">
        <v>800</v>
      </c>
      <c r="C460" s="44" t="s">
        <v>801</v>
      </c>
      <c r="D460" s="25"/>
      <c r="E460" s="52"/>
      <c r="F460" s="53"/>
      <c r="G460" s="26"/>
      <c r="H460" s="54"/>
      <c r="I460" s="53"/>
      <c r="J460" s="53"/>
      <c r="K460" s="56"/>
      <c r="L460" s="56"/>
      <c r="M460" s="53"/>
      <c r="N460" s="53"/>
    </row>
    <row r="461" spans="1:14">
      <c r="A461" s="47">
        <v>231002112</v>
      </c>
      <c r="B461" s="43" t="s">
        <v>802</v>
      </c>
      <c r="C461" s="44" t="s">
        <v>803</v>
      </c>
      <c r="D461" s="25"/>
      <c r="E461" s="52"/>
      <c r="F461" s="53"/>
      <c r="G461" s="26"/>
      <c r="H461" s="54"/>
      <c r="I461" s="53"/>
      <c r="J461" s="53"/>
      <c r="K461" s="56"/>
      <c r="L461" s="56"/>
      <c r="M461" s="53"/>
      <c r="N461" s="53"/>
    </row>
    <row r="462" spans="1:14" ht="14.45">
      <c r="A462" s="8"/>
      <c r="B462" s="20"/>
      <c r="D462" s="25"/>
      <c r="E462" s="52"/>
      <c r="F462" s="53"/>
      <c r="G462" s="26"/>
      <c r="H462" s="54"/>
      <c r="I462" s="53"/>
      <c r="J462" s="53"/>
      <c r="K462" s="56"/>
      <c r="L462" s="56"/>
      <c r="M462" s="53"/>
      <c r="N462" s="53"/>
    </row>
    <row r="463" spans="1:14" ht="14.45">
      <c r="A463" s="8"/>
      <c r="B463" s="20"/>
      <c r="C463" s="20"/>
      <c r="D463" s="25"/>
      <c r="E463" s="52"/>
      <c r="F463" s="53"/>
      <c r="G463" s="26"/>
      <c r="H463" s="54"/>
      <c r="I463" s="53"/>
      <c r="J463" s="53"/>
      <c r="K463" s="56"/>
      <c r="L463" s="56"/>
      <c r="M463" s="53"/>
      <c r="N463" s="53"/>
    </row>
    <row r="464" spans="1:14">
      <c r="A464" s="11"/>
      <c r="B464" s="7"/>
      <c r="C464" s="7"/>
      <c r="E464" s="52"/>
      <c r="F464" s="53"/>
      <c r="G464" s="26"/>
      <c r="H464" s="54"/>
      <c r="I464" s="53"/>
      <c r="J464" s="53"/>
      <c r="K464" s="56"/>
      <c r="L464" s="56"/>
      <c r="M464" s="53"/>
      <c r="N464" s="53"/>
    </row>
    <row r="465" spans="1:14" ht="14.45">
      <c r="A465" s="12"/>
      <c r="B465" s="1"/>
      <c r="C465" s="6"/>
      <c r="D465" s="6"/>
      <c r="E465" s="1"/>
      <c r="F465" s="1"/>
      <c r="G465" s="1"/>
      <c r="H465" s="30"/>
      <c r="I465" s="1"/>
      <c r="J465" s="1"/>
      <c r="K465" s="1"/>
      <c r="L465" s="1"/>
      <c r="M465" s="1"/>
      <c r="N465" s="1"/>
    </row>
    <row r="466" spans="1:14">
      <c r="A466" s="47">
        <v>231000920</v>
      </c>
      <c r="B466" s="43" t="s">
        <v>804</v>
      </c>
      <c r="C466" s="44" t="s">
        <v>805</v>
      </c>
      <c r="D466" s="25"/>
      <c r="E466" s="52" t="s">
        <v>806</v>
      </c>
      <c r="F466" s="53" t="s">
        <v>807</v>
      </c>
      <c r="G466" s="26" t="s">
        <v>808</v>
      </c>
      <c r="H466" s="61" t="s">
        <v>809</v>
      </c>
      <c r="I466" s="53"/>
      <c r="J466" s="53"/>
      <c r="K466" s="56"/>
      <c r="L466" s="56"/>
      <c r="M466" s="53"/>
      <c r="N466" s="53"/>
    </row>
    <row r="467" spans="1:14">
      <c r="A467" s="47">
        <v>231001203</v>
      </c>
      <c r="B467" s="43" t="s">
        <v>810</v>
      </c>
      <c r="C467" s="44" t="s">
        <v>811</v>
      </c>
      <c r="D467" s="25"/>
      <c r="E467" s="52"/>
      <c r="F467" s="53"/>
      <c r="G467" s="26"/>
      <c r="H467" s="54"/>
      <c r="I467" s="53"/>
      <c r="J467" s="53"/>
      <c r="K467" s="56"/>
      <c r="L467" s="56"/>
      <c r="M467" s="53"/>
      <c r="N467" s="53"/>
    </row>
    <row r="468" spans="1:14">
      <c r="A468" s="47">
        <v>231001454</v>
      </c>
      <c r="B468" s="43" t="s">
        <v>812</v>
      </c>
      <c r="C468" s="44" t="s">
        <v>813</v>
      </c>
      <c r="D468" s="25"/>
      <c r="E468" s="52"/>
      <c r="F468" s="53"/>
      <c r="G468" s="26"/>
      <c r="H468" s="54"/>
      <c r="I468" s="53"/>
      <c r="J468" s="53"/>
      <c r="K468" s="56"/>
      <c r="L468" s="56"/>
      <c r="M468" s="53"/>
      <c r="N468" s="53"/>
    </row>
    <row r="469" spans="1:14">
      <c r="A469" s="47">
        <v>231001796</v>
      </c>
      <c r="B469" s="43" t="s">
        <v>814</v>
      </c>
      <c r="C469" s="44" t="s">
        <v>815</v>
      </c>
      <c r="D469" s="25"/>
      <c r="E469" s="52"/>
      <c r="F469" s="53"/>
      <c r="G469" s="26"/>
      <c r="H469" s="54"/>
      <c r="I469" s="53"/>
      <c r="J469" s="53"/>
      <c r="K469" s="56"/>
      <c r="L469" s="56"/>
      <c r="M469" s="53"/>
      <c r="N469" s="53"/>
    </row>
    <row r="470" spans="1:14">
      <c r="A470" s="47">
        <v>231001531</v>
      </c>
      <c r="B470" s="43" t="s">
        <v>816</v>
      </c>
      <c r="C470" s="44" t="s">
        <v>817</v>
      </c>
      <c r="E470" s="52"/>
      <c r="F470" s="53"/>
      <c r="G470" s="26"/>
      <c r="H470" s="54"/>
      <c r="I470" s="53"/>
      <c r="J470" s="53"/>
      <c r="K470" s="56"/>
      <c r="L470" s="56"/>
      <c r="M470" s="53"/>
      <c r="N470" s="53"/>
    </row>
    <row r="471" spans="1:14">
      <c r="E471" s="52"/>
      <c r="F471" s="53"/>
      <c r="G471" s="26"/>
      <c r="H471" s="54"/>
      <c r="I471" s="53"/>
      <c r="J471" s="53"/>
      <c r="K471" s="56"/>
      <c r="L471" s="56"/>
      <c r="M471" s="53"/>
      <c r="N471" s="53"/>
    </row>
    <row r="472" spans="1:14">
      <c r="A472" s="11"/>
      <c r="B472" s="7"/>
      <c r="C472" s="7"/>
      <c r="E472" s="52"/>
      <c r="F472" s="53"/>
      <c r="G472" s="26"/>
      <c r="H472" s="54"/>
      <c r="I472" s="53"/>
      <c r="J472" s="53"/>
      <c r="K472" s="56"/>
      <c r="L472" s="56"/>
      <c r="M472" s="53"/>
      <c r="N472" s="53"/>
    </row>
    <row r="473" spans="1:14" ht="14.45">
      <c r="A473" s="12"/>
      <c r="B473" s="1"/>
      <c r="C473" s="6"/>
      <c r="D473" s="6"/>
      <c r="E473" s="1"/>
      <c r="F473" s="1"/>
      <c r="G473" s="1"/>
      <c r="H473" s="30"/>
      <c r="I473" s="1"/>
      <c r="J473" s="1"/>
      <c r="K473" s="1"/>
      <c r="L473" s="1"/>
      <c r="M473" s="1"/>
      <c r="N473" s="1"/>
    </row>
    <row r="474" spans="1:14">
      <c r="A474" s="47">
        <v>231001525</v>
      </c>
      <c r="B474" s="43" t="s">
        <v>818</v>
      </c>
      <c r="C474" s="44" t="s">
        <v>819</v>
      </c>
      <c r="D474" s="25"/>
      <c r="E474" s="52" t="s">
        <v>820</v>
      </c>
      <c r="F474" s="53" t="s">
        <v>61</v>
      </c>
      <c r="G474" s="26"/>
      <c r="H474" s="61" t="s">
        <v>821</v>
      </c>
      <c r="I474" s="53"/>
      <c r="J474" s="53"/>
      <c r="K474" s="56"/>
      <c r="L474" s="56"/>
      <c r="M474" s="53"/>
      <c r="N474" s="53"/>
    </row>
    <row r="475" spans="1:14">
      <c r="A475" s="8">
        <v>211000524</v>
      </c>
      <c r="B475" s="20" t="s">
        <v>822</v>
      </c>
      <c r="C475" s="44" t="s">
        <v>823</v>
      </c>
      <c r="D475" s="25"/>
      <c r="E475" s="52"/>
      <c r="F475" s="53"/>
      <c r="G475" s="26"/>
      <c r="H475" s="54"/>
      <c r="I475" s="53"/>
      <c r="J475" s="53"/>
      <c r="K475" s="56"/>
      <c r="L475" s="56"/>
      <c r="M475" s="53"/>
      <c r="N475" s="53"/>
    </row>
    <row r="476" spans="1:14">
      <c r="D476" s="25"/>
      <c r="E476" s="52"/>
      <c r="F476" s="53"/>
      <c r="G476" s="26"/>
      <c r="H476" s="54"/>
      <c r="I476" s="53"/>
      <c r="J476" s="53"/>
      <c r="K476" s="56"/>
      <c r="L476" s="56"/>
      <c r="M476" s="53"/>
      <c r="N476" s="53"/>
    </row>
    <row r="477" spans="1:14">
      <c r="D477" s="25"/>
      <c r="E477" s="52"/>
      <c r="F477" s="53"/>
      <c r="G477" s="26"/>
      <c r="H477" s="54"/>
      <c r="I477" s="53"/>
      <c r="J477" s="53"/>
      <c r="K477" s="56"/>
      <c r="L477" s="56"/>
      <c r="M477" s="53"/>
      <c r="N477" s="53"/>
    </row>
    <row r="478" spans="1:14">
      <c r="A478" s="22"/>
      <c r="B478" s="23"/>
      <c r="C478" s="23"/>
      <c r="D478" s="25"/>
      <c r="E478" s="52"/>
      <c r="F478" s="53"/>
      <c r="G478" s="26"/>
      <c r="H478" s="54"/>
      <c r="I478" s="53"/>
      <c r="J478" s="53"/>
      <c r="K478" s="56"/>
      <c r="L478" s="56"/>
      <c r="M478" s="53"/>
      <c r="N478" s="53"/>
    </row>
    <row r="479" spans="1:14" ht="14.45">
      <c r="E479" s="52"/>
      <c r="F479" s="53"/>
      <c r="G479" s="26"/>
      <c r="H479" s="54"/>
      <c r="I479" s="53"/>
      <c r="J479" s="53"/>
      <c r="K479" s="56"/>
      <c r="L479" s="56"/>
      <c r="M479" s="53"/>
      <c r="N479" s="53"/>
    </row>
    <row r="480" spans="1:14" ht="14.45">
      <c r="A480" s="8"/>
      <c r="E480" s="52"/>
      <c r="F480" s="53"/>
      <c r="G480" s="26"/>
      <c r="H480" s="54"/>
      <c r="I480" s="53"/>
      <c r="J480" s="53"/>
      <c r="K480" s="56"/>
      <c r="L480" s="56"/>
      <c r="M480" s="53"/>
      <c r="N480" s="53"/>
    </row>
    <row r="481" spans="1:14" ht="14.45">
      <c r="A481" s="12"/>
      <c r="B481" s="1"/>
      <c r="C481" s="6"/>
      <c r="D481" s="6"/>
      <c r="E481" s="1"/>
      <c r="F481" s="1"/>
      <c r="G481" s="1"/>
      <c r="H481" s="30"/>
      <c r="I481" s="1"/>
      <c r="J481" s="1"/>
      <c r="K481" s="1"/>
      <c r="L481" s="1"/>
      <c r="M481" s="1"/>
      <c r="N481" s="1"/>
    </row>
    <row r="482" spans="1:14">
      <c r="A482" s="47">
        <v>221001530</v>
      </c>
      <c r="B482" s="43" t="s">
        <v>824</v>
      </c>
      <c r="C482" s="44" t="s">
        <v>825</v>
      </c>
      <c r="D482" s="25"/>
      <c r="E482" s="52" t="s">
        <v>826</v>
      </c>
      <c r="F482" s="53" t="s">
        <v>123</v>
      </c>
      <c r="G482" s="26"/>
      <c r="H482" s="61" t="s">
        <v>827</v>
      </c>
      <c r="I482" s="53"/>
      <c r="J482" s="53"/>
      <c r="K482" s="56"/>
      <c r="L482" s="56"/>
      <c r="M482" s="53"/>
      <c r="N482" s="53"/>
    </row>
    <row r="483" spans="1:14">
      <c r="A483" s="47">
        <v>18200080</v>
      </c>
      <c r="B483" s="43" t="s">
        <v>828</v>
      </c>
      <c r="C483" s="44" t="s">
        <v>829</v>
      </c>
      <c r="D483" s="25"/>
      <c r="E483" s="52"/>
      <c r="F483" s="53"/>
      <c r="G483" s="26"/>
      <c r="H483" s="54"/>
      <c r="I483" s="53"/>
      <c r="J483" s="53"/>
      <c r="K483" s="56"/>
      <c r="L483" s="56"/>
      <c r="M483" s="53"/>
      <c r="N483" s="53"/>
    </row>
    <row r="484" spans="1:14">
      <c r="A484" s="47">
        <v>231001661</v>
      </c>
      <c r="B484" s="43" t="s">
        <v>830</v>
      </c>
      <c r="C484" s="44" t="s">
        <v>831</v>
      </c>
      <c r="D484" s="25"/>
      <c r="E484" s="52"/>
      <c r="F484" s="53"/>
      <c r="G484" s="26"/>
      <c r="H484" s="54"/>
      <c r="I484" s="53"/>
      <c r="J484" s="53"/>
      <c r="K484" s="56"/>
      <c r="L484" s="56"/>
      <c r="M484" s="53"/>
      <c r="N484" s="53"/>
    </row>
    <row r="485" spans="1:14" ht="14.45">
      <c r="A485" s="8"/>
      <c r="B485" s="20"/>
      <c r="C485" s="44"/>
      <c r="D485" s="25"/>
      <c r="E485" s="52"/>
      <c r="F485" s="53"/>
      <c r="G485" s="26"/>
      <c r="H485" s="54"/>
      <c r="I485" s="53"/>
      <c r="J485" s="53"/>
      <c r="K485" s="56"/>
      <c r="L485" s="56"/>
      <c r="M485" s="53"/>
      <c r="N485" s="53"/>
    </row>
    <row r="486" spans="1:14" ht="14.45">
      <c r="A486" s="22"/>
      <c r="B486" s="23"/>
      <c r="C486" s="23"/>
      <c r="D486" s="25"/>
      <c r="E486" s="52"/>
      <c r="F486" s="53"/>
      <c r="G486" s="26"/>
      <c r="H486" s="54"/>
      <c r="I486" s="53"/>
      <c r="J486" s="53"/>
      <c r="K486" s="56"/>
      <c r="L486" s="56"/>
      <c r="M486" s="53"/>
      <c r="N486" s="53"/>
    </row>
    <row r="487" spans="1:14" ht="14.45">
      <c r="B487" s="8"/>
      <c r="E487" s="52"/>
      <c r="F487" s="53"/>
      <c r="G487" s="26"/>
      <c r="H487" s="54"/>
      <c r="I487" s="53"/>
      <c r="J487" s="53"/>
      <c r="K487" s="56"/>
      <c r="L487" s="56"/>
      <c r="M487" s="53"/>
      <c r="N487" s="53"/>
    </row>
    <row r="488" spans="1:14">
      <c r="A488" s="11"/>
      <c r="B488" s="7"/>
      <c r="C488" s="7"/>
      <c r="E488" s="52"/>
      <c r="F488" s="53"/>
      <c r="G488" s="26"/>
      <c r="H488" s="54"/>
      <c r="I488" s="53"/>
      <c r="J488" s="53"/>
      <c r="K488" s="56"/>
      <c r="L488" s="56"/>
      <c r="M488" s="53"/>
      <c r="N488" s="53"/>
    </row>
    <row r="489" spans="1:14" ht="14.45">
      <c r="A489" s="12"/>
      <c r="B489" s="1"/>
      <c r="C489" s="6"/>
      <c r="D489" s="6"/>
      <c r="E489" s="1"/>
      <c r="F489" s="1"/>
      <c r="G489" s="1"/>
      <c r="H489" s="30"/>
      <c r="I489" s="1"/>
      <c r="J489" s="1"/>
      <c r="K489" s="1"/>
      <c r="L489" s="1"/>
      <c r="M489" s="1"/>
      <c r="N489" s="1"/>
    </row>
    <row r="490" spans="1:14">
      <c r="A490" s="47">
        <v>221000391</v>
      </c>
      <c r="B490" s="43" t="s">
        <v>832</v>
      </c>
      <c r="C490" s="44" t="s">
        <v>833</v>
      </c>
      <c r="D490" s="25"/>
      <c r="E490" s="52" t="s">
        <v>834</v>
      </c>
      <c r="F490" s="53" t="s">
        <v>679</v>
      </c>
      <c r="G490" s="26"/>
      <c r="H490" s="60" t="s">
        <v>835</v>
      </c>
      <c r="I490" s="53"/>
      <c r="J490" s="53"/>
      <c r="K490" s="56"/>
      <c r="L490" s="56"/>
      <c r="M490" s="53"/>
      <c r="N490" s="53"/>
    </row>
    <row r="491" spans="1:14">
      <c r="A491" s="47">
        <v>231001840</v>
      </c>
      <c r="B491" s="43" t="s">
        <v>836</v>
      </c>
      <c r="C491" s="44" t="s">
        <v>837</v>
      </c>
      <c r="D491" s="25"/>
      <c r="E491" s="52"/>
      <c r="F491" s="53"/>
      <c r="G491" s="26"/>
      <c r="H491" s="54"/>
      <c r="I491" s="53"/>
      <c r="J491" s="53"/>
      <c r="K491" s="56"/>
      <c r="L491" s="56"/>
      <c r="M491" s="53"/>
      <c r="N491" s="53"/>
    </row>
    <row r="492" spans="1:14">
      <c r="A492" s="47">
        <v>231001730</v>
      </c>
      <c r="B492" s="43" t="s">
        <v>838</v>
      </c>
      <c r="C492" s="44" t="s">
        <v>839</v>
      </c>
      <c r="D492" s="25"/>
      <c r="E492" s="52"/>
      <c r="F492" s="53"/>
      <c r="G492" s="26"/>
      <c r="H492" s="54"/>
      <c r="I492" s="53"/>
      <c r="J492" s="53"/>
      <c r="K492" s="56"/>
      <c r="L492" s="56"/>
      <c r="M492" s="53"/>
      <c r="N492" s="53"/>
    </row>
    <row r="493" spans="1:14" ht="14.45">
      <c r="A493" s="8"/>
      <c r="B493" s="20"/>
      <c r="C493" s="44"/>
      <c r="D493" s="25"/>
      <c r="E493" s="52"/>
      <c r="F493" s="53"/>
      <c r="G493" s="26"/>
      <c r="H493" s="54"/>
      <c r="I493" s="53"/>
      <c r="J493" s="53"/>
      <c r="K493" s="56"/>
      <c r="L493" s="56"/>
      <c r="M493" s="53"/>
      <c r="N493" s="53"/>
    </row>
    <row r="494" spans="1:14" ht="14.45">
      <c r="A494" s="8"/>
      <c r="B494" s="20"/>
      <c r="C494" s="20"/>
      <c r="D494" s="25"/>
      <c r="E494" s="52"/>
      <c r="F494" s="53"/>
      <c r="G494" s="26"/>
      <c r="H494" s="54"/>
      <c r="I494" s="53"/>
      <c r="J494" s="53"/>
      <c r="K494" s="56"/>
      <c r="L494" s="56"/>
      <c r="M494" s="53"/>
      <c r="N494" s="53"/>
    </row>
    <row r="495" spans="1:14" ht="14.45">
      <c r="B495" s="8"/>
      <c r="E495" s="52"/>
      <c r="F495" s="53"/>
      <c r="G495" s="26"/>
      <c r="H495" s="54"/>
      <c r="I495" s="53"/>
      <c r="J495" s="53"/>
      <c r="K495" s="56"/>
      <c r="L495" s="56"/>
      <c r="M495" s="53"/>
      <c r="N495" s="53"/>
    </row>
    <row r="496" spans="1:14">
      <c r="A496" s="11"/>
      <c r="B496" s="7"/>
      <c r="C496" s="7"/>
      <c r="E496" s="52"/>
      <c r="F496" s="53"/>
      <c r="G496" s="26"/>
      <c r="H496" s="54"/>
      <c r="I496" s="53"/>
      <c r="J496" s="53"/>
      <c r="K496" s="56"/>
      <c r="L496" s="56"/>
      <c r="M496" s="53"/>
      <c r="N496" s="53"/>
    </row>
    <row r="497" spans="1:14">
      <c r="A497" s="12"/>
      <c r="B497" s="1"/>
      <c r="C497" s="6"/>
      <c r="D497" s="6"/>
      <c r="E497" s="1"/>
      <c r="F497" s="1"/>
      <c r="G497" s="1"/>
      <c r="H497" s="30"/>
      <c r="I497" s="1"/>
      <c r="J497" s="1"/>
      <c r="K497" s="1"/>
      <c r="L497" s="1"/>
      <c r="M497" s="1"/>
      <c r="N497" s="1"/>
    </row>
    <row r="498" spans="1:14" ht="14.45" customHeight="1">
      <c r="A498" s="47">
        <v>231002071</v>
      </c>
      <c r="B498" s="43" t="s">
        <v>840</v>
      </c>
      <c r="C498" s="20"/>
      <c r="D498" s="25"/>
      <c r="E498" s="57" t="s">
        <v>841</v>
      </c>
      <c r="F498" s="53" t="s">
        <v>18</v>
      </c>
      <c r="G498" s="26"/>
      <c r="H498" s="60" t="s">
        <v>842</v>
      </c>
      <c r="I498" s="53"/>
      <c r="J498" s="53"/>
      <c r="K498" s="56"/>
      <c r="L498" s="56"/>
      <c r="M498" s="53"/>
      <c r="N498" s="53"/>
    </row>
    <row r="499" spans="1:14" ht="14.45" customHeight="1">
      <c r="A499" s="47">
        <v>231000104</v>
      </c>
      <c r="B499" s="43" t="s">
        <v>843</v>
      </c>
      <c r="C499" s="20"/>
      <c r="D499" s="25"/>
      <c r="E499" s="57"/>
      <c r="F499" s="53"/>
      <c r="G499" s="26"/>
      <c r="H499" s="54"/>
      <c r="I499" s="53"/>
      <c r="J499" s="53"/>
      <c r="K499" s="56"/>
      <c r="L499" s="56"/>
      <c r="M499" s="53"/>
      <c r="N499" s="53"/>
    </row>
    <row r="500" spans="1:14" ht="14.45" customHeight="1">
      <c r="A500" s="47">
        <v>231000195</v>
      </c>
      <c r="B500" s="43" t="s">
        <v>844</v>
      </c>
      <c r="C500" s="20"/>
      <c r="D500" s="25"/>
      <c r="E500" s="57"/>
      <c r="F500" s="53"/>
      <c r="G500" s="26"/>
      <c r="H500" s="54"/>
      <c r="I500" s="53"/>
      <c r="J500" s="53"/>
      <c r="K500" s="56"/>
      <c r="L500" s="56"/>
      <c r="M500" s="53"/>
      <c r="N500" s="53"/>
    </row>
    <row r="501" spans="1:14" ht="14.45" customHeight="1">
      <c r="A501" s="47">
        <v>241000740</v>
      </c>
      <c r="B501" s="43" t="s">
        <v>845</v>
      </c>
      <c r="C501" s="20"/>
      <c r="D501" s="25"/>
      <c r="E501" s="57"/>
      <c r="F501" s="53"/>
      <c r="G501" s="26"/>
      <c r="H501" s="54"/>
      <c r="I501" s="53"/>
      <c r="J501" s="53"/>
      <c r="K501" s="56"/>
      <c r="L501" s="56"/>
      <c r="M501" s="53"/>
      <c r="N501" s="53"/>
    </row>
    <row r="502" spans="1:14" ht="14.45" customHeight="1">
      <c r="A502" s="8"/>
      <c r="B502" s="43" t="s">
        <v>846</v>
      </c>
      <c r="E502" s="57"/>
      <c r="F502" s="53"/>
      <c r="G502" s="26"/>
      <c r="H502" s="54"/>
      <c r="I502" s="53"/>
      <c r="J502" s="53"/>
      <c r="K502" s="56"/>
      <c r="L502" s="56"/>
      <c r="M502" s="53"/>
      <c r="N502" s="53"/>
    </row>
    <row r="503" spans="1:14" ht="14.45" customHeight="1">
      <c r="B503" s="8"/>
      <c r="E503" s="57"/>
      <c r="F503" s="53"/>
      <c r="G503" s="26"/>
      <c r="H503" s="54"/>
      <c r="I503" s="53"/>
      <c r="J503" s="53"/>
      <c r="K503" s="56"/>
      <c r="L503" s="56"/>
      <c r="M503" s="53"/>
      <c r="N503" s="53"/>
    </row>
    <row r="504" spans="1:14" ht="14.45" customHeight="1">
      <c r="A504" s="11"/>
      <c r="B504" s="7"/>
      <c r="C504" s="7"/>
      <c r="E504" s="57"/>
      <c r="F504" s="53"/>
      <c r="G504" s="26"/>
      <c r="H504" s="54"/>
      <c r="I504" s="53"/>
      <c r="J504" s="53"/>
      <c r="K504" s="56"/>
      <c r="L504" s="56"/>
      <c r="M504" s="53"/>
      <c r="N504" s="53"/>
    </row>
    <row r="505" spans="1:14">
      <c r="A505" s="12"/>
      <c r="B505" s="1"/>
      <c r="C505" s="6"/>
      <c r="D505" s="6"/>
      <c r="E505" s="1"/>
      <c r="F505" s="1"/>
      <c r="G505" s="1"/>
      <c r="H505" s="30"/>
      <c r="I505" s="1"/>
      <c r="J505" s="1"/>
      <c r="K505" s="1"/>
      <c r="L505" s="1"/>
      <c r="M505" s="1"/>
      <c r="N505" s="1"/>
    </row>
    <row r="506" spans="1:14" ht="14.45" customHeight="1">
      <c r="A506" s="47">
        <v>231000941</v>
      </c>
      <c r="B506" s="43" t="s">
        <v>847</v>
      </c>
      <c r="C506" s="46" t="s">
        <v>848</v>
      </c>
      <c r="D506" s="25"/>
      <c r="E506" s="57" t="s">
        <v>849</v>
      </c>
      <c r="F506" s="53" t="s">
        <v>18</v>
      </c>
      <c r="G506" s="26"/>
      <c r="H506" s="54" t="s">
        <v>850</v>
      </c>
      <c r="I506" s="55"/>
      <c r="J506" s="55"/>
      <c r="K506" s="56"/>
      <c r="L506" s="56"/>
      <c r="M506" s="53"/>
      <c r="N506" s="53"/>
    </row>
    <row r="507" spans="1:14" ht="14.45" customHeight="1">
      <c r="A507" s="47">
        <v>231000764</v>
      </c>
      <c r="B507" s="43" t="s">
        <v>851</v>
      </c>
      <c r="C507" s="46" t="s">
        <v>852</v>
      </c>
      <c r="D507" s="25"/>
      <c r="E507" s="57"/>
      <c r="F507" s="53"/>
      <c r="G507" s="26"/>
      <c r="H507" s="54"/>
      <c r="I507" s="55"/>
      <c r="J507" s="55"/>
      <c r="K507" s="56"/>
      <c r="L507" s="56"/>
      <c r="M507" s="53"/>
      <c r="N507" s="53"/>
    </row>
    <row r="508" spans="1:14" ht="14.45" customHeight="1">
      <c r="A508" s="47">
        <v>231000343</v>
      </c>
      <c r="B508" s="43" t="s">
        <v>853</v>
      </c>
      <c r="C508" s="46" t="s">
        <v>854</v>
      </c>
      <c r="D508" s="25"/>
      <c r="E508" s="57"/>
      <c r="F508" s="53"/>
      <c r="G508" s="26"/>
      <c r="H508" s="54"/>
      <c r="I508" s="55"/>
      <c r="J508" s="55"/>
      <c r="K508" s="56"/>
      <c r="L508" s="56"/>
      <c r="M508" s="53"/>
      <c r="N508" s="53"/>
    </row>
    <row r="509" spans="1:14" ht="14.45" customHeight="1">
      <c r="A509" s="47">
        <v>231000241</v>
      </c>
      <c r="B509" s="43" t="s">
        <v>855</v>
      </c>
      <c r="C509" s="46" t="s">
        <v>856</v>
      </c>
      <c r="D509" s="25"/>
      <c r="E509" s="57"/>
      <c r="F509" s="53"/>
      <c r="G509" s="26"/>
      <c r="H509" s="54"/>
      <c r="I509" s="55"/>
      <c r="J509" s="55"/>
      <c r="K509" s="56"/>
      <c r="L509" s="56"/>
      <c r="M509" s="53"/>
      <c r="N509" s="53"/>
    </row>
    <row r="510" spans="1:14" ht="14.45" customHeight="1">
      <c r="A510" s="47">
        <v>231000281</v>
      </c>
      <c r="B510" s="43" t="s">
        <v>857</v>
      </c>
      <c r="C510" s="46" t="s">
        <v>858</v>
      </c>
      <c r="E510" s="57"/>
      <c r="F510" s="53"/>
      <c r="G510" s="26"/>
      <c r="H510" s="54"/>
      <c r="I510" s="55"/>
      <c r="J510" s="55"/>
      <c r="K510" s="56"/>
      <c r="L510" s="56"/>
      <c r="M510" s="53"/>
      <c r="N510" s="53"/>
    </row>
    <row r="511" spans="1:14" ht="14.45" customHeight="1">
      <c r="A511" s="47">
        <v>231000038</v>
      </c>
      <c r="B511" s="43" t="s">
        <v>859</v>
      </c>
      <c r="C511" s="46" t="s">
        <v>860</v>
      </c>
      <c r="E511" s="57"/>
      <c r="F511" s="53"/>
      <c r="G511" s="26"/>
      <c r="H511" s="54"/>
      <c r="I511" s="55"/>
      <c r="J511" s="55"/>
      <c r="K511" s="56"/>
      <c r="L511" s="56"/>
      <c r="M511" s="53"/>
      <c r="N511" s="53"/>
    </row>
    <row r="512" spans="1:14" ht="14.45" customHeight="1">
      <c r="A512" s="11"/>
      <c r="B512" s="7"/>
      <c r="C512" s="7"/>
      <c r="E512" s="57"/>
      <c r="F512" s="53"/>
      <c r="G512" s="26"/>
      <c r="H512" s="54"/>
      <c r="I512" s="55"/>
      <c r="J512" s="55"/>
      <c r="K512" s="56"/>
      <c r="L512" s="56"/>
      <c r="M512" s="53"/>
      <c r="N512" s="53"/>
    </row>
    <row r="513" spans="1:14">
      <c r="A513" s="12"/>
      <c r="B513" s="1"/>
      <c r="C513" s="6"/>
      <c r="D513" s="6"/>
      <c r="E513" s="1"/>
      <c r="F513" s="1"/>
      <c r="G513" s="1"/>
      <c r="H513" s="29"/>
      <c r="I513" s="12"/>
      <c r="J513" s="12"/>
      <c r="K513" s="1"/>
      <c r="L513" s="1"/>
      <c r="M513" s="1"/>
      <c r="N513" s="1"/>
    </row>
    <row r="514" spans="1:14" ht="14.45" customHeight="1">
      <c r="A514" s="47">
        <v>231001209</v>
      </c>
      <c r="B514" s="43" t="s">
        <v>861</v>
      </c>
      <c r="C514" s="20"/>
      <c r="D514" s="25"/>
      <c r="E514" s="57" t="s">
        <v>862</v>
      </c>
      <c r="F514" s="53" t="s">
        <v>18</v>
      </c>
      <c r="G514" s="26"/>
      <c r="H514" s="59" t="s">
        <v>863</v>
      </c>
      <c r="I514" s="55"/>
      <c r="J514" s="55"/>
      <c r="K514" s="56"/>
      <c r="L514" s="56"/>
      <c r="M514" s="53"/>
      <c r="N514" s="53"/>
    </row>
    <row r="515" spans="1:14" ht="14.45" customHeight="1">
      <c r="A515" s="47"/>
      <c r="B515" s="43" t="s">
        <v>864</v>
      </c>
      <c r="C515" s="20"/>
      <c r="D515" s="25"/>
      <c r="E515" s="57"/>
      <c r="F515" s="53"/>
      <c r="G515" s="26"/>
      <c r="H515" s="54"/>
      <c r="I515" s="55"/>
      <c r="J515" s="55"/>
      <c r="K515" s="56"/>
      <c r="L515" s="56"/>
      <c r="M515" s="53"/>
      <c r="N515" s="53"/>
    </row>
    <row r="516" spans="1:14" ht="14.45" customHeight="1">
      <c r="A516" s="47"/>
      <c r="B516" s="43" t="s">
        <v>865</v>
      </c>
      <c r="C516" s="20"/>
      <c r="D516" s="25"/>
      <c r="E516" s="57"/>
      <c r="F516" s="53"/>
      <c r="G516" s="26"/>
      <c r="H516" s="54"/>
      <c r="I516" s="55"/>
      <c r="J516" s="55"/>
      <c r="K516" s="56"/>
      <c r="L516" s="56"/>
      <c r="M516" s="53"/>
      <c r="N516" s="53"/>
    </row>
    <row r="517" spans="1:14" ht="14.45" customHeight="1">
      <c r="E517" s="57"/>
      <c r="F517" s="53"/>
      <c r="G517" s="26"/>
      <c r="H517" s="54"/>
      <c r="I517" s="55"/>
      <c r="J517" s="55"/>
      <c r="K517" s="56"/>
      <c r="L517" s="56"/>
      <c r="M517" s="53"/>
      <c r="N517" s="53"/>
    </row>
    <row r="518" spans="1:14" ht="14.45" customHeight="1">
      <c r="A518" s="8"/>
      <c r="E518" s="57"/>
      <c r="F518" s="53"/>
      <c r="G518" s="26"/>
      <c r="H518" s="54"/>
      <c r="I518" s="55"/>
      <c r="J518" s="55"/>
      <c r="K518" s="56"/>
      <c r="L518" s="56"/>
      <c r="M518" s="53"/>
      <c r="N518" s="53"/>
    </row>
    <row r="519" spans="1:14" ht="14.45" customHeight="1">
      <c r="A519" s="8"/>
      <c r="E519" s="57"/>
      <c r="F519" s="53"/>
      <c r="G519" s="26"/>
      <c r="H519" s="54"/>
      <c r="I519" s="55"/>
      <c r="J519" s="55"/>
      <c r="K519" s="56"/>
      <c r="L519" s="56"/>
      <c r="M519" s="53"/>
      <c r="N519" s="53"/>
    </row>
    <row r="520" spans="1:14" ht="14.45" customHeight="1">
      <c r="A520" s="11"/>
      <c r="B520" s="7"/>
      <c r="C520" s="7"/>
      <c r="E520" s="57"/>
      <c r="F520" s="53"/>
      <c r="G520" s="26"/>
      <c r="H520" s="54"/>
      <c r="I520" s="55"/>
      <c r="J520" s="55"/>
      <c r="K520" s="56"/>
      <c r="L520" s="56"/>
      <c r="M520" s="53"/>
      <c r="N520" s="53"/>
    </row>
    <row r="521" spans="1:14">
      <c r="A521" s="12"/>
      <c r="B521" s="1"/>
      <c r="C521" s="6"/>
      <c r="D521" s="6"/>
      <c r="E521" s="1"/>
      <c r="F521" s="1"/>
      <c r="G521" s="1"/>
      <c r="H521" s="30"/>
      <c r="I521" s="1"/>
      <c r="J521" s="1"/>
      <c r="K521" s="1"/>
      <c r="L521" s="1"/>
      <c r="M521" s="1"/>
      <c r="N521" s="1"/>
    </row>
    <row r="522" spans="1:14" ht="14.45" customHeight="1">
      <c r="A522" s="47">
        <v>231001563</v>
      </c>
      <c r="B522" s="43" t="s">
        <v>866</v>
      </c>
      <c r="C522" s="43" t="s">
        <v>867</v>
      </c>
      <c r="D522" s="25"/>
      <c r="E522" s="57" t="s">
        <v>868</v>
      </c>
      <c r="F522" s="53" t="s">
        <v>74</v>
      </c>
      <c r="G522" s="26"/>
      <c r="H522" s="54" t="s">
        <v>869</v>
      </c>
      <c r="I522" s="55"/>
      <c r="J522" s="55"/>
      <c r="K522" s="56"/>
      <c r="L522" s="56"/>
      <c r="M522" s="53"/>
      <c r="N522" s="53"/>
    </row>
    <row r="523" spans="1:14" ht="14.45" customHeight="1">
      <c r="A523" s="47">
        <v>231000226</v>
      </c>
      <c r="B523" s="43" t="s">
        <v>870</v>
      </c>
      <c r="C523" s="43" t="s">
        <v>871</v>
      </c>
      <c r="D523" s="25"/>
      <c r="E523" s="57"/>
      <c r="F523" s="53"/>
      <c r="G523" s="26"/>
      <c r="H523" s="54"/>
      <c r="I523" s="55"/>
      <c r="J523" s="55"/>
      <c r="K523" s="56"/>
      <c r="L523" s="56"/>
      <c r="M523" s="53"/>
      <c r="N523" s="53"/>
    </row>
    <row r="524" spans="1:14" ht="14.45" customHeight="1">
      <c r="A524" s="47">
        <v>231001544</v>
      </c>
      <c r="B524" s="43" t="s">
        <v>872</v>
      </c>
      <c r="C524" s="43" t="s">
        <v>873</v>
      </c>
      <c r="D524" s="25"/>
      <c r="E524" s="57"/>
      <c r="F524" s="53"/>
      <c r="G524" s="26"/>
      <c r="H524" s="54"/>
      <c r="I524" s="55"/>
      <c r="J524" s="55"/>
      <c r="K524" s="56"/>
      <c r="L524" s="56"/>
      <c r="M524" s="53"/>
      <c r="N524" s="53"/>
    </row>
    <row r="525" spans="1:14" ht="14.45" customHeight="1">
      <c r="A525" s="47">
        <v>231000088</v>
      </c>
      <c r="B525" s="43" t="s">
        <v>874</v>
      </c>
      <c r="C525" s="43" t="s">
        <v>875</v>
      </c>
      <c r="D525" s="25"/>
      <c r="E525" s="57"/>
      <c r="F525" s="53"/>
      <c r="G525" s="26"/>
      <c r="H525" s="54"/>
      <c r="I525" s="55"/>
      <c r="J525" s="55"/>
      <c r="K525" s="56"/>
      <c r="L525" s="56"/>
      <c r="M525" s="53"/>
      <c r="N525" s="53"/>
    </row>
    <row r="526" spans="1:14" ht="14.45" customHeight="1">
      <c r="A526" s="47">
        <v>231001733</v>
      </c>
      <c r="B526" s="43" t="s">
        <v>876</v>
      </c>
      <c r="C526" s="43" t="s">
        <v>877</v>
      </c>
      <c r="D526" s="25"/>
      <c r="E526" s="57"/>
      <c r="F526" s="53"/>
      <c r="G526" s="26"/>
      <c r="H526" s="54"/>
      <c r="I526" s="55"/>
      <c r="J526" s="55"/>
      <c r="K526" s="56"/>
      <c r="L526" s="56"/>
      <c r="M526" s="53"/>
      <c r="N526" s="53"/>
    </row>
    <row r="527" spans="1:14" ht="14.45" customHeight="1">
      <c r="A527" s="8"/>
      <c r="E527" s="57"/>
      <c r="F527" s="53"/>
      <c r="G527" s="26"/>
      <c r="H527" s="54"/>
      <c r="I527" s="55"/>
      <c r="J527" s="55"/>
      <c r="K527" s="56"/>
      <c r="L527" s="56"/>
      <c r="M527" s="53"/>
      <c r="N527" s="53"/>
    </row>
    <row r="528" spans="1:14" ht="14.45" customHeight="1">
      <c r="A528" s="11"/>
      <c r="B528" s="7"/>
      <c r="C528" s="7"/>
      <c r="E528" s="57"/>
      <c r="F528" s="53"/>
      <c r="G528" s="26"/>
      <c r="H528" s="54"/>
      <c r="I528" s="55"/>
      <c r="J528" s="55"/>
      <c r="K528" s="56"/>
      <c r="L528" s="56"/>
      <c r="M528" s="53"/>
      <c r="N528" s="53"/>
    </row>
    <row r="529" spans="1:14">
      <c r="A529" s="12"/>
      <c r="B529" s="1"/>
      <c r="C529" s="6"/>
      <c r="D529" s="6"/>
      <c r="E529" s="1"/>
      <c r="F529" s="1"/>
      <c r="G529" s="1"/>
      <c r="H529" s="30"/>
      <c r="I529" s="1"/>
      <c r="J529" s="1"/>
      <c r="K529" s="1"/>
      <c r="L529" s="1"/>
      <c r="M529" s="1"/>
      <c r="N529" s="1"/>
    </row>
    <row r="530" spans="1:14" ht="14.45" customHeight="1">
      <c r="A530" s="47">
        <v>231001277</v>
      </c>
      <c r="B530" s="43" t="s">
        <v>878</v>
      </c>
      <c r="C530" s="20"/>
      <c r="D530" s="25"/>
      <c r="E530" s="57" t="s">
        <v>879</v>
      </c>
      <c r="F530" s="53" t="s">
        <v>182</v>
      </c>
      <c r="G530" s="26"/>
      <c r="H530" s="54" t="s">
        <v>880</v>
      </c>
      <c r="I530" s="55" t="s">
        <v>881</v>
      </c>
      <c r="J530" s="55"/>
      <c r="K530" s="56"/>
      <c r="L530" s="56"/>
      <c r="M530" s="53"/>
      <c r="N530" s="53"/>
    </row>
    <row r="531" spans="1:14" ht="14.45" customHeight="1">
      <c r="A531" s="47">
        <v>231000940</v>
      </c>
      <c r="B531" s="43" t="s">
        <v>882</v>
      </c>
      <c r="C531" s="20"/>
      <c r="D531" s="25"/>
      <c r="E531" s="57"/>
      <c r="F531" s="53"/>
      <c r="G531" s="26"/>
      <c r="H531" s="54"/>
      <c r="I531" s="55"/>
      <c r="J531" s="55"/>
      <c r="K531" s="56"/>
      <c r="L531" s="56"/>
      <c r="M531" s="53"/>
      <c r="N531" s="53"/>
    </row>
    <row r="532" spans="1:14" ht="14.45" customHeight="1">
      <c r="A532" s="47">
        <v>231001693</v>
      </c>
      <c r="B532" s="43" t="s">
        <v>883</v>
      </c>
      <c r="C532" s="20"/>
      <c r="D532" s="25"/>
      <c r="E532" s="57"/>
      <c r="F532" s="53"/>
      <c r="G532" s="26"/>
      <c r="H532" s="54"/>
      <c r="I532" s="55"/>
      <c r="J532" s="55"/>
      <c r="K532" s="56"/>
      <c r="L532" s="56"/>
      <c r="M532" s="53"/>
      <c r="N532" s="53"/>
    </row>
    <row r="533" spans="1:14" ht="14.45" customHeight="1">
      <c r="A533" s="47">
        <v>231000427</v>
      </c>
      <c r="B533" s="43" t="s">
        <v>884</v>
      </c>
      <c r="C533" s="20"/>
      <c r="D533" s="25"/>
      <c r="E533" s="57"/>
      <c r="F533" s="53"/>
      <c r="G533" s="26"/>
      <c r="H533" s="54"/>
      <c r="I533" s="55"/>
      <c r="J533" s="55"/>
      <c r="K533" s="56"/>
      <c r="L533" s="56"/>
      <c r="M533" s="53"/>
      <c r="N533" s="53"/>
    </row>
    <row r="534" spans="1:14" ht="14.45" customHeight="1">
      <c r="A534" s="8"/>
      <c r="B534" s="20"/>
      <c r="C534" s="20"/>
      <c r="D534" s="25"/>
      <c r="E534" s="57"/>
      <c r="F534" s="53"/>
      <c r="G534" s="26"/>
      <c r="H534" s="54"/>
      <c r="I534" s="55"/>
      <c r="J534" s="55"/>
      <c r="K534" s="56"/>
      <c r="L534" s="56"/>
      <c r="M534" s="53"/>
      <c r="N534" s="53"/>
    </row>
    <row r="535" spans="1:14" ht="14.45" customHeight="1">
      <c r="A535" s="8"/>
      <c r="E535" s="57"/>
      <c r="F535" s="53"/>
      <c r="G535" s="26"/>
      <c r="H535" s="54"/>
      <c r="I535" s="55"/>
      <c r="J535" s="55"/>
      <c r="K535" s="56"/>
      <c r="L535" s="56"/>
      <c r="M535" s="53"/>
      <c r="N535" s="53"/>
    </row>
    <row r="536" spans="1:14" ht="14.45" customHeight="1">
      <c r="A536" s="11"/>
      <c r="B536" s="7"/>
      <c r="C536" s="7"/>
      <c r="E536" s="57"/>
      <c r="F536" s="53"/>
      <c r="G536" s="26"/>
      <c r="H536" s="54"/>
      <c r="I536" s="55"/>
      <c r="J536" s="55"/>
      <c r="K536" s="56"/>
      <c r="L536" s="56"/>
      <c r="M536" s="53"/>
      <c r="N536" s="53"/>
    </row>
    <row r="537" spans="1:14">
      <c r="A537" s="12"/>
      <c r="B537" s="1"/>
      <c r="C537" s="6"/>
      <c r="D537" s="6"/>
      <c r="E537" s="1"/>
      <c r="F537" s="1"/>
      <c r="G537" s="30"/>
      <c r="H537" s="1"/>
      <c r="I537" s="1"/>
      <c r="J537" s="1"/>
      <c r="K537" s="1"/>
      <c r="L537" s="1"/>
      <c r="M537" s="1"/>
      <c r="N537" s="1"/>
    </row>
    <row r="538" spans="1:14" ht="14.45" customHeight="1">
      <c r="A538" s="47">
        <v>231000755</v>
      </c>
      <c r="B538" s="43" t="s">
        <v>885</v>
      </c>
      <c r="C538" s="20"/>
      <c r="D538" s="25"/>
      <c r="E538" s="57" t="s">
        <v>886</v>
      </c>
      <c r="F538" s="53" t="s">
        <v>31</v>
      </c>
      <c r="G538" s="59"/>
      <c r="H538" s="55" t="s">
        <v>887</v>
      </c>
      <c r="I538" s="55"/>
      <c r="J538" s="56"/>
      <c r="K538" s="56"/>
      <c r="L538" s="53"/>
      <c r="M538" s="53"/>
    </row>
    <row r="539" spans="1:14" ht="14.45" customHeight="1">
      <c r="A539" s="47">
        <v>231001984</v>
      </c>
      <c r="B539" s="43" t="s">
        <v>888</v>
      </c>
      <c r="C539" s="20"/>
      <c r="D539" s="25"/>
      <c r="E539" s="57"/>
      <c r="F539" s="53"/>
      <c r="G539" s="54"/>
      <c r="H539" s="55"/>
      <c r="I539" s="55"/>
      <c r="J539" s="56"/>
      <c r="K539" s="56"/>
      <c r="L539" s="53"/>
      <c r="M539" s="53"/>
    </row>
    <row r="540" spans="1:14" ht="14.45" customHeight="1">
      <c r="A540" s="47">
        <v>231000687</v>
      </c>
      <c r="B540" s="43" t="s">
        <v>889</v>
      </c>
      <c r="C540" s="20"/>
      <c r="D540" s="25"/>
      <c r="E540" s="57"/>
      <c r="F540" s="53"/>
      <c r="G540" s="54"/>
      <c r="H540" s="55"/>
      <c r="I540" s="55"/>
      <c r="J540" s="56"/>
      <c r="K540" s="56"/>
      <c r="L540" s="53"/>
      <c r="M540" s="53"/>
    </row>
    <row r="541" spans="1:14" ht="14.45" customHeight="1">
      <c r="A541" s="47">
        <v>231001137</v>
      </c>
      <c r="B541" s="43" t="s">
        <v>890</v>
      </c>
      <c r="E541" s="57"/>
      <c r="F541" s="53"/>
      <c r="G541" s="54"/>
      <c r="H541" s="55"/>
      <c r="I541" s="55"/>
      <c r="J541" s="56"/>
      <c r="K541" s="56"/>
      <c r="L541" s="53"/>
      <c r="M541" s="53"/>
    </row>
    <row r="542" spans="1:14" ht="14.45" customHeight="1">
      <c r="A542" s="47">
        <v>231000095</v>
      </c>
      <c r="B542" s="43" t="s">
        <v>891</v>
      </c>
      <c r="E542" s="57"/>
      <c r="F542" s="53"/>
      <c r="G542" s="54"/>
      <c r="H542" s="55"/>
      <c r="I542" s="55"/>
      <c r="J542" s="56"/>
      <c r="K542" s="56"/>
      <c r="L542" s="53"/>
      <c r="M542" s="53"/>
    </row>
    <row r="543" spans="1:14" ht="14.45" customHeight="1">
      <c r="A543" s="8"/>
      <c r="E543" s="57"/>
      <c r="F543" s="53"/>
      <c r="G543" s="54"/>
      <c r="H543" s="55"/>
      <c r="I543" s="55"/>
      <c r="J543" s="56"/>
      <c r="K543" s="56"/>
      <c r="L543" s="53"/>
      <c r="M543" s="53"/>
    </row>
    <row r="544" spans="1:14" ht="14.45" customHeight="1">
      <c r="A544" s="11"/>
      <c r="B544" s="7"/>
      <c r="C544" s="7"/>
      <c r="E544" s="57"/>
      <c r="F544" s="53"/>
      <c r="G544" s="54"/>
      <c r="H544" s="55"/>
      <c r="I544" s="55"/>
      <c r="J544" s="56"/>
      <c r="K544" s="56"/>
      <c r="L544" s="53"/>
      <c r="M544" s="53"/>
    </row>
    <row r="545" spans="1:13">
      <c r="A545" s="12"/>
      <c r="B545" s="1"/>
      <c r="C545" s="6"/>
      <c r="D545" s="6"/>
      <c r="E545" s="1"/>
      <c r="F545" s="1"/>
      <c r="G545" s="30"/>
      <c r="H545" s="1"/>
      <c r="I545" s="1"/>
      <c r="J545" s="1"/>
      <c r="K545" s="1"/>
      <c r="L545" s="1"/>
      <c r="M545" s="1"/>
    </row>
    <row r="546" spans="1:13" ht="14.45" customHeight="1">
      <c r="A546" s="47">
        <v>231001607</v>
      </c>
      <c r="B546" s="43" t="s">
        <v>892</v>
      </c>
      <c r="C546" s="46" t="s">
        <v>893</v>
      </c>
      <c r="D546" s="25"/>
      <c r="E546" s="57" t="s">
        <v>894</v>
      </c>
      <c r="F546" s="53" t="s">
        <v>61</v>
      </c>
      <c r="G546" s="54"/>
      <c r="H546" s="55" t="s">
        <v>895</v>
      </c>
      <c r="I546" s="55"/>
      <c r="J546" s="56"/>
      <c r="K546" s="56"/>
      <c r="L546" s="53"/>
      <c r="M546" s="53"/>
    </row>
    <row r="547" spans="1:13" ht="14.45" customHeight="1">
      <c r="A547" s="47">
        <v>231002617</v>
      </c>
      <c r="B547" s="43" t="s">
        <v>896</v>
      </c>
      <c r="C547" s="46" t="s">
        <v>897</v>
      </c>
      <c r="D547" s="25"/>
      <c r="E547" s="57"/>
      <c r="F547" s="53"/>
      <c r="G547" s="54"/>
      <c r="H547" s="55"/>
      <c r="I547" s="55"/>
      <c r="J547" s="56"/>
      <c r="K547" s="56"/>
      <c r="L547" s="53"/>
      <c r="M547" s="53"/>
    </row>
    <row r="548" spans="1:13" ht="14.45" customHeight="1">
      <c r="A548" s="47">
        <v>231002474</v>
      </c>
      <c r="B548" s="43" t="s">
        <v>898</v>
      </c>
      <c r="C548" s="46" t="s">
        <v>899</v>
      </c>
      <c r="D548" s="25"/>
      <c r="E548" s="57"/>
      <c r="F548" s="53"/>
      <c r="G548" s="54"/>
      <c r="H548" s="55"/>
      <c r="I548" s="55"/>
      <c r="J548" s="56"/>
      <c r="K548" s="56"/>
      <c r="L548" s="53"/>
      <c r="M548" s="53"/>
    </row>
    <row r="549" spans="1:13" ht="14.45" customHeight="1">
      <c r="A549" s="47">
        <v>231001631</v>
      </c>
      <c r="B549" s="43" t="s">
        <v>900</v>
      </c>
      <c r="C549" s="46" t="s">
        <v>901</v>
      </c>
      <c r="D549" s="25"/>
      <c r="E549" s="57"/>
      <c r="F549" s="53"/>
      <c r="G549" s="54"/>
      <c r="H549" s="55"/>
      <c r="I549" s="55"/>
      <c r="J549" s="56"/>
      <c r="K549" s="56"/>
      <c r="L549" s="53"/>
      <c r="M549" s="53"/>
    </row>
    <row r="550" spans="1:13" ht="14.45" customHeight="1">
      <c r="A550" s="8"/>
      <c r="B550" s="20"/>
      <c r="C550" s="20"/>
      <c r="D550" s="25"/>
      <c r="E550" s="57"/>
      <c r="F550" s="53"/>
      <c r="G550" s="54"/>
      <c r="H550" s="55"/>
      <c r="I550" s="55"/>
      <c r="J550" s="56"/>
      <c r="K550" s="56"/>
      <c r="L550" s="53"/>
      <c r="M550" s="53"/>
    </row>
    <row r="551" spans="1:13" ht="14.45" customHeight="1">
      <c r="A551" s="8"/>
      <c r="E551" s="57"/>
      <c r="F551" s="53"/>
      <c r="G551" s="54"/>
      <c r="H551" s="55"/>
      <c r="I551" s="55"/>
      <c r="J551" s="56"/>
      <c r="K551" s="56"/>
      <c r="L551" s="53"/>
      <c r="M551" s="53"/>
    </row>
    <row r="552" spans="1:13" ht="14.45" customHeight="1">
      <c r="A552" s="11"/>
      <c r="B552" s="7"/>
      <c r="C552" s="7"/>
      <c r="E552" s="57"/>
      <c r="F552" s="53"/>
      <c r="G552" s="54"/>
      <c r="H552" s="55"/>
      <c r="I552" s="55"/>
      <c r="J552" s="56"/>
      <c r="K552" s="56"/>
      <c r="L552" s="53"/>
      <c r="M552" s="53"/>
    </row>
    <row r="553" spans="1:13">
      <c r="A553" s="12"/>
      <c r="B553" s="1"/>
      <c r="C553" s="6"/>
      <c r="D553" s="6"/>
      <c r="E553" s="1"/>
      <c r="F553" s="1"/>
      <c r="G553" s="30"/>
      <c r="H553" s="1"/>
      <c r="I553" s="1"/>
      <c r="J553" s="1"/>
      <c r="K553" s="1"/>
      <c r="L553" s="1"/>
      <c r="M553" s="1"/>
    </row>
    <row r="554" spans="1:13">
      <c r="A554" s="47">
        <v>231002231</v>
      </c>
      <c r="B554" s="43" t="s">
        <v>902</v>
      </c>
      <c r="D554" s="25"/>
      <c r="E554" s="57" t="s">
        <v>903</v>
      </c>
      <c r="F554" s="53" t="s">
        <v>632</v>
      </c>
      <c r="G554" s="54"/>
      <c r="H554" s="55" t="s">
        <v>904</v>
      </c>
      <c r="I554" s="55" t="s">
        <v>905</v>
      </c>
      <c r="J554" s="56"/>
      <c r="K554" s="56"/>
      <c r="L554" s="53"/>
      <c r="M554" s="53"/>
    </row>
    <row r="555" spans="1:13" ht="14.45" customHeight="1">
      <c r="A555" s="47">
        <v>231001595</v>
      </c>
      <c r="B555" s="43" t="s">
        <v>906</v>
      </c>
      <c r="C555" s="20"/>
      <c r="D555" s="25"/>
      <c r="E555" s="57"/>
      <c r="F555" s="53"/>
      <c r="G555" s="54"/>
      <c r="H555" s="55"/>
      <c r="I555" s="55"/>
      <c r="J555" s="56"/>
      <c r="K555" s="56"/>
      <c r="L555" s="53"/>
      <c r="M555" s="53"/>
    </row>
    <row r="556" spans="1:13" ht="14.45" customHeight="1">
      <c r="A556" s="47">
        <v>231001308</v>
      </c>
      <c r="B556" s="43" t="s">
        <v>907</v>
      </c>
      <c r="C556" s="20"/>
      <c r="D556" s="25"/>
      <c r="E556" s="57"/>
      <c r="F556" s="53"/>
      <c r="G556" s="54"/>
      <c r="H556" s="55"/>
      <c r="I556" s="55"/>
      <c r="J556" s="56"/>
      <c r="K556" s="56"/>
      <c r="L556" s="53"/>
      <c r="M556" s="53"/>
    </row>
    <row r="557" spans="1:13" ht="14.45" customHeight="1">
      <c r="A557" s="47">
        <v>231001842</v>
      </c>
      <c r="B557" s="43" t="s">
        <v>908</v>
      </c>
      <c r="C557" s="20"/>
      <c r="D557" s="25"/>
      <c r="E557" s="57"/>
      <c r="F557" s="53"/>
      <c r="G557" s="54"/>
      <c r="H557" s="55"/>
      <c r="I557" s="55"/>
      <c r="J557" s="56"/>
      <c r="K557" s="56"/>
      <c r="L557" s="53"/>
      <c r="M557" s="53"/>
    </row>
    <row r="558" spans="1:13" ht="14.45" customHeight="1">
      <c r="A558" s="47">
        <v>231000786</v>
      </c>
      <c r="B558" s="43" t="s">
        <v>909</v>
      </c>
      <c r="C558" s="20"/>
      <c r="D558" s="25"/>
      <c r="E558" s="57"/>
      <c r="F558" s="53"/>
      <c r="G558" s="54"/>
      <c r="H558" s="55"/>
      <c r="I558" s="55"/>
      <c r="J558" s="56"/>
      <c r="K558" s="56"/>
      <c r="L558" s="53"/>
      <c r="M558" s="53"/>
    </row>
    <row r="559" spans="1:13" ht="14.45" customHeight="1">
      <c r="A559" s="47">
        <v>211000140</v>
      </c>
      <c r="B559" s="43" t="s">
        <v>910</v>
      </c>
      <c r="E559" s="57"/>
      <c r="F559" s="53"/>
      <c r="G559" s="54"/>
      <c r="H559" s="55"/>
      <c r="I559" s="55"/>
      <c r="J559" s="56"/>
      <c r="K559" s="56"/>
      <c r="L559" s="53"/>
      <c r="M559" s="53"/>
    </row>
    <row r="560" spans="1:13" ht="14.45" customHeight="1">
      <c r="A560" s="11"/>
      <c r="B560" s="7"/>
      <c r="C560" s="7"/>
      <c r="E560" s="57"/>
      <c r="F560" s="53"/>
      <c r="G560" s="54"/>
      <c r="H560" s="55"/>
      <c r="I560" s="55"/>
      <c r="J560" s="56"/>
      <c r="K560" s="56"/>
      <c r="L560" s="53"/>
      <c r="M560" s="53"/>
    </row>
    <row r="561" spans="1:13">
      <c r="A561" s="12"/>
      <c r="B561" s="1"/>
      <c r="C561" s="6"/>
      <c r="D561" s="6"/>
      <c r="E561" s="1"/>
      <c r="F561" s="1"/>
      <c r="G561" s="1"/>
      <c r="H561" s="1"/>
      <c r="I561" s="1"/>
      <c r="J561" s="1"/>
      <c r="K561" s="1"/>
      <c r="L561" s="1"/>
      <c r="M561" s="1"/>
    </row>
    <row r="562" spans="1:13">
      <c r="A562" s="47" t="s">
        <v>911</v>
      </c>
      <c r="B562" s="43" t="s">
        <v>912</v>
      </c>
      <c r="C562" s="46" t="s">
        <v>913</v>
      </c>
      <c r="D562" s="25"/>
      <c r="E562" s="57" t="s">
        <v>914</v>
      </c>
      <c r="F562" s="53" t="s">
        <v>182</v>
      </c>
      <c r="G562" s="54"/>
      <c r="H562" s="58" t="s">
        <v>915</v>
      </c>
      <c r="I562" s="55"/>
      <c r="J562" s="56"/>
      <c r="K562" s="56"/>
      <c r="L562" s="53"/>
      <c r="M562" s="53"/>
    </row>
    <row r="563" spans="1:13">
      <c r="A563" s="47" t="s">
        <v>916</v>
      </c>
      <c r="B563" s="43" t="s">
        <v>917</v>
      </c>
      <c r="C563" s="46" t="s">
        <v>918</v>
      </c>
      <c r="D563" s="25"/>
      <c r="E563" s="57"/>
      <c r="F563" s="53"/>
      <c r="G563" s="54"/>
      <c r="H563" s="55"/>
      <c r="I563" s="55"/>
      <c r="J563" s="56"/>
      <c r="K563" s="56"/>
      <c r="L563" s="53"/>
      <c r="M563" s="53"/>
    </row>
    <row r="564" spans="1:13">
      <c r="A564" s="47">
        <v>231000183</v>
      </c>
      <c r="B564" s="43" t="s">
        <v>919</v>
      </c>
      <c r="C564" s="46" t="s">
        <v>920</v>
      </c>
      <c r="D564" s="25"/>
      <c r="E564" s="57"/>
      <c r="F564" s="53"/>
      <c r="G564" s="54"/>
      <c r="H564" s="55"/>
      <c r="I564" s="55"/>
      <c r="J564" s="56"/>
      <c r="K564" s="56"/>
      <c r="L564" s="53"/>
      <c r="M564" s="53"/>
    </row>
    <row r="565" spans="1:13">
      <c r="A565" s="47">
        <v>231001435</v>
      </c>
      <c r="B565" s="43" t="s">
        <v>921</v>
      </c>
      <c r="C565" s="46" t="s">
        <v>922</v>
      </c>
      <c r="D565" s="25"/>
      <c r="E565" s="57"/>
      <c r="F565" s="53"/>
      <c r="G565" s="54"/>
      <c r="H565" s="55"/>
      <c r="I565" s="55"/>
      <c r="J565" s="56"/>
      <c r="K565" s="56"/>
      <c r="L565" s="53"/>
      <c r="M565" s="53"/>
    </row>
    <row r="566" spans="1:13">
      <c r="A566" s="47">
        <v>231001025</v>
      </c>
      <c r="B566" s="43" t="s">
        <v>923</v>
      </c>
      <c r="C566" s="46" t="s">
        <v>924</v>
      </c>
      <c r="D566" s="25"/>
      <c r="E566" s="57"/>
      <c r="F566" s="53"/>
      <c r="G566" s="54"/>
      <c r="H566" s="55"/>
      <c r="I566" s="55"/>
      <c r="J566" s="56"/>
      <c r="K566" s="56"/>
      <c r="L566" s="53"/>
      <c r="M566" s="53"/>
    </row>
    <row r="567" spans="1:13">
      <c r="A567" s="47">
        <v>231001730</v>
      </c>
      <c r="B567" s="43" t="s">
        <v>838</v>
      </c>
      <c r="C567" s="46" t="s">
        <v>839</v>
      </c>
      <c r="E567" s="57"/>
      <c r="F567" s="53"/>
      <c r="G567" s="54"/>
      <c r="H567" s="55"/>
      <c r="I567" s="55"/>
      <c r="J567" s="56"/>
      <c r="K567" s="56"/>
      <c r="L567" s="53"/>
      <c r="M567" s="53"/>
    </row>
    <row r="568" spans="1:13">
      <c r="A568" s="11"/>
      <c r="B568" s="7"/>
      <c r="C568" s="7"/>
      <c r="E568" s="57"/>
      <c r="F568" s="53"/>
      <c r="G568" s="54"/>
      <c r="H568" s="55"/>
      <c r="I568" s="55"/>
      <c r="J568" s="56"/>
      <c r="K568" s="56"/>
      <c r="L568" s="53"/>
      <c r="M568" s="53"/>
    </row>
    <row r="569" spans="1:13">
      <c r="A569" s="12"/>
      <c r="B569" s="1"/>
      <c r="C569" s="6"/>
      <c r="D569" s="6"/>
      <c r="E569" s="1"/>
      <c r="F569" s="1"/>
      <c r="G569" s="30"/>
      <c r="H569" s="1"/>
      <c r="I569" s="1"/>
      <c r="J569" s="1"/>
      <c r="K569" s="1"/>
      <c r="L569" s="1"/>
      <c r="M569" s="1"/>
    </row>
    <row r="570" spans="1:13">
      <c r="A570" s="12"/>
      <c r="B570" s="1"/>
      <c r="C570" s="6"/>
      <c r="D570" s="6"/>
      <c r="E570" s="1"/>
      <c r="F570" s="1"/>
      <c r="G570" s="1"/>
      <c r="H570" s="1"/>
      <c r="I570" s="1"/>
      <c r="J570" s="1"/>
      <c r="K570" s="1"/>
      <c r="L570" s="1"/>
      <c r="M570" s="1"/>
    </row>
    <row r="571" spans="1:13">
      <c r="D571" s="25"/>
      <c r="E571" s="52" t="s">
        <v>925</v>
      </c>
      <c r="F571" s="53" t="s">
        <v>74</v>
      </c>
      <c r="G571" s="54"/>
      <c r="H571" s="55"/>
      <c r="I571" s="55"/>
      <c r="J571" s="56"/>
      <c r="K571" s="56"/>
      <c r="L571" s="53"/>
      <c r="M571" s="53"/>
    </row>
    <row r="572" spans="1:13">
      <c r="D572" s="25"/>
      <c r="E572" s="52"/>
      <c r="F572" s="53"/>
      <c r="G572" s="54"/>
      <c r="H572" s="55"/>
      <c r="I572" s="55"/>
      <c r="J572" s="56"/>
      <c r="K572" s="56"/>
      <c r="L572" s="53"/>
      <c r="M572" s="53"/>
    </row>
    <row r="573" spans="1:13">
      <c r="A573" s="47"/>
      <c r="B573" s="43"/>
      <c r="C573" s="20"/>
      <c r="D573" s="25"/>
      <c r="E573" s="52"/>
      <c r="F573" s="53"/>
      <c r="G573" s="54"/>
      <c r="H573" s="55"/>
      <c r="I573" s="55"/>
      <c r="J573" s="56"/>
      <c r="K573" s="56"/>
      <c r="L573" s="53"/>
      <c r="M573" s="53"/>
    </row>
    <row r="574" spans="1:13">
      <c r="A574" s="47"/>
      <c r="B574" s="43"/>
      <c r="C574" s="20"/>
      <c r="D574" s="25"/>
      <c r="E574" s="52"/>
      <c r="F574" s="53"/>
      <c r="G574" s="54"/>
      <c r="H574" s="55"/>
      <c r="I574" s="55"/>
      <c r="J574" s="56"/>
      <c r="K574" s="56"/>
      <c r="L574" s="53"/>
      <c r="M574" s="53"/>
    </row>
    <row r="575" spans="1:13">
      <c r="A575" s="47"/>
      <c r="B575" s="43"/>
      <c r="C575" s="20"/>
      <c r="D575" s="25"/>
      <c r="E575" s="52"/>
      <c r="F575" s="53"/>
      <c r="G575" s="54"/>
      <c r="H575" s="55"/>
      <c r="I575" s="55"/>
      <c r="J575" s="56"/>
      <c r="K575" s="56"/>
      <c r="L575" s="53"/>
      <c r="M575" s="53"/>
    </row>
    <row r="576" spans="1:13">
      <c r="A576" s="47"/>
      <c r="B576" s="43"/>
      <c r="E576" s="52"/>
      <c r="F576" s="53"/>
      <c r="G576" s="54"/>
      <c r="H576" s="55"/>
      <c r="I576" s="55"/>
      <c r="J576" s="56"/>
      <c r="K576" s="56"/>
      <c r="L576" s="53"/>
      <c r="M576" s="53"/>
    </row>
    <row r="577" spans="1:13">
      <c r="A577" s="11"/>
      <c r="B577" s="7"/>
      <c r="C577" s="7"/>
      <c r="E577" s="52"/>
      <c r="F577" s="53"/>
      <c r="G577" s="54"/>
      <c r="H577" s="55"/>
      <c r="I577" s="55"/>
      <c r="J577" s="56"/>
      <c r="K577" s="56"/>
      <c r="L577" s="53"/>
      <c r="M577" s="53"/>
    </row>
    <row r="578" spans="1:13">
      <c r="A578" s="12"/>
      <c r="B578" s="1"/>
      <c r="C578" s="6"/>
      <c r="D578" s="6"/>
      <c r="E578" s="1"/>
      <c r="F578" s="1"/>
      <c r="G578" s="30"/>
      <c r="H578" s="1"/>
      <c r="I578" s="1"/>
      <c r="J578" s="1"/>
      <c r="K578" s="1"/>
      <c r="L578" s="1"/>
      <c r="M578" s="1"/>
    </row>
    <row r="579" spans="1:13" ht="14.45">
      <c r="H579" s="45"/>
    </row>
    <row r="580" spans="1:13" ht="14.45">
      <c r="H580" s="45"/>
    </row>
    <row r="581" spans="1:13" ht="14.45">
      <c r="H581" s="45"/>
    </row>
    <row r="582" spans="1:13" ht="14.45">
      <c r="H582" s="45"/>
    </row>
    <row r="583" spans="1:13" ht="14.45">
      <c r="H583" s="45"/>
    </row>
    <row r="584" spans="1:13" ht="14.45">
      <c r="H584" s="45"/>
    </row>
    <row r="585" spans="1:13" ht="14.45">
      <c r="H585" s="45"/>
    </row>
    <row r="586" spans="1:13" ht="14.45">
      <c r="H586" s="45"/>
    </row>
    <row r="587" spans="1:13" ht="14.45">
      <c r="H587" s="45"/>
    </row>
    <row r="588" spans="1:13" ht="14.45">
      <c r="H588" s="45"/>
    </row>
    <row r="589" spans="1:13" ht="14.45">
      <c r="H589" s="45"/>
    </row>
    <row r="590" spans="1:13" ht="14.45">
      <c r="H590" s="45"/>
    </row>
    <row r="591" spans="1:13" ht="14.45">
      <c r="H591" s="45"/>
    </row>
    <row r="592" spans="1:13" ht="14.45">
      <c r="H592" s="45"/>
    </row>
    <row r="593" spans="8:8" ht="14.45">
      <c r="H593" s="45"/>
    </row>
    <row r="594" spans="8:8" ht="14.45">
      <c r="H594" s="45"/>
    </row>
    <row r="595" spans="8:8" ht="14.45">
      <c r="H595" s="45"/>
    </row>
    <row r="596" spans="8:8" ht="14.45">
      <c r="H596" s="45"/>
    </row>
    <row r="597" spans="8:8" ht="14.45">
      <c r="H597" s="45"/>
    </row>
    <row r="598" spans="8:8" ht="14.45">
      <c r="H598" s="45"/>
    </row>
    <row r="599" spans="8:8" ht="14.45">
      <c r="H599" s="45"/>
    </row>
    <row r="600" spans="8:8" ht="14.45">
      <c r="H600" s="45"/>
    </row>
    <row r="601" spans="8:8" ht="14.45">
      <c r="H601" s="45"/>
    </row>
    <row r="602" spans="8:8" ht="14.45">
      <c r="H602" s="45"/>
    </row>
    <row r="603" spans="8:8" ht="14.45">
      <c r="H603" s="45"/>
    </row>
    <row r="604" spans="8:8" ht="14.45">
      <c r="H604" s="45"/>
    </row>
    <row r="605" spans="8:8" ht="14.45">
      <c r="H605" s="45"/>
    </row>
    <row r="606" spans="8:8" ht="14.45">
      <c r="H606" s="45"/>
    </row>
    <row r="607" spans="8:8" ht="14.45">
      <c r="H607" s="45"/>
    </row>
    <row r="608" spans="8:8" ht="14.45">
      <c r="H608" s="45"/>
    </row>
    <row r="609" spans="8:8" ht="14.45">
      <c r="H609" s="45"/>
    </row>
    <row r="610" spans="8:8" ht="14.45">
      <c r="H610" s="45"/>
    </row>
    <row r="611" spans="8:8" ht="14.45">
      <c r="H611" s="45"/>
    </row>
    <row r="612" spans="8:8" ht="14.45">
      <c r="H612" s="45"/>
    </row>
    <row r="613" spans="8:8" ht="14.45">
      <c r="H613" s="45"/>
    </row>
    <row r="614" spans="8:8" ht="14.45">
      <c r="H614" s="45"/>
    </row>
    <row r="615" spans="8:8" ht="14.45">
      <c r="H615" s="45"/>
    </row>
    <row r="616" spans="8:8" ht="14.45">
      <c r="H616" s="45"/>
    </row>
    <row r="617" spans="8:8" ht="14.45">
      <c r="H617" s="45"/>
    </row>
    <row r="618" spans="8:8" ht="14.45">
      <c r="H618" s="45"/>
    </row>
    <row r="619" spans="8:8" ht="14.45">
      <c r="H619" s="45"/>
    </row>
    <row r="620" spans="8:8" ht="14.45">
      <c r="H620" s="45"/>
    </row>
    <row r="621" spans="8:8" ht="14.45">
      <c r="H621" s="45"/>
    </row>
    <row r="622" spans="8:8" ht="14.45">
      <c r="H622" s="45"/>
    </row>
    <row r="623" spans="8:8" ht="14.45">
      <c r="H623" s="45"/>
    </row>
    <row r="624" spans="8:8" ht="14.45">
      <c r="H624" s="45"/>
    </row>
    <row r="625" spans="8:8" ht="14.45">
      <c r="H625" s="45"/>
    </row>
    <row r="626" spans="8:8" ht="14.45">
      <c r="H626" s="45"/>
    </row>
    <row r="627" spans="8:8" ht="14.45">
      <c r="H627" s="45"/>
    </row>
    <row r="628" spans="8:8" ht="14.45">
      <c r="H628" s="45"/>
    </row>
    <row r="629" spans="8:8" ht="14.45">
      <c r="H629" s="45"/>
    </row>
    <row r="630" spans="8:8" ht="14.45">
      <c r="H630" s="45"/>
    </row>
    <row r="631" spans="8:8" ht="14.45">
      <c r="H631" s="45"/>
    </row>
    <row r="632" spans="8:8" ht="14.45">
      <c r="H632" s="45"/>
    </row>
    <row r="633" spans="8:8" ht="14.45">
      <c r="H633" s="45"/>
    </row>
    <row r="634" spans="8:8" ht="14.45">
      <c r="H634" s="45"/>
    </row>
    <row r="635" spans="8:8" ht="14.45">
      <c r="H635" s="45"/>
    </row>
    <row r="636" spans="8:8" ht="14.45">
      <c r="H636" s="45"/>
    </row>
    <row r="637" spans="8:8" ht="14.45">
      <c r="H637" s="45"/>
    </row>
    <row r="638" spans="8:8" ht="14.45">
      <c r="H638" s="45"/>
    </row>
    <row r="639" spans="8:8" ht="14.45">
      <c r="H639" s="45"/>
    </row>
    <row r="640" spans="8:8" ht="14.45">
      <c r="H640" s="45"/>
    </row>
    <row r="641" spans="8:8" ht="14.45">
      <c r="H641" s="45"/>
    </row>
    <row r="642" spans="8:8" ht="14.45">
      <c r="H642" s="45"/>
    </row>
    <row r="643" spans="8:8" ht="14.45">
      <c r="H643" s="45"/>
    </row>
    <row r="644" spans="8:8" ht="14.45">
      <c r="H644" s="45"/>
    </row>
    <row r="645" spans="8:8" ht="14.45">
      <c r="H645" s="45"/>
    </row>
    <row r="646" spans="8:8" ht="14.45">
      <c r="H646" s="45"/>
    </row>
    <row r="647" spans="8:8" ht="14.45">
      <c r="H647" s="45"/>
    </row>
    <row r="648" spans="8:8" ht="14.45">
      <c r="H648" s="45"/>
    </row>
    <row r="649" spans="8:8" ht="14.45">
      <c r="H649" s="45"/>
    </row>
    <row r="650" spans="8:8" ht="14.45">
      <c r="H650" s="45"/>
    </row>
    <row r="651" spans="8:8" ht="14.45">
      <c r="H651" s="45"/>
    </row>
    <row r="652" spans="8:8" ht="14.45">
      <c r="H652" s="45"/>
    </row>
    <row r="653" spans="8:8" ht="14.45">
      <c r="H653" s="45"/>
    </row>
    <row r="654" spans="8:8" ht="14.45">
      <c r="H654" s="45"/>
    </row>
    <row r="655" spans="8:8" ht="14.45">
      <c r="H655" s="45"/>
    </row>
    <row r="656" spans="8:8" ht="14.45">
      <c r="H656" s="45"/>
    </row>
    <row r="657" spans="8:8" ht="14.45">
      <c r="H657" s="45"/>
    </row>
    <row r="658" spans="8:8" ht="14.45">
      <c r="H658" s="45"/>
    </row>
    <row r="659" spans="8:8" ht="14.45">
      <c r="H659" s="45"/>
    </row>
    <row r="660" spans="8:8" ht="14.45">
      <c r="H660" s="45"/>
    </row>
    <row r="661" spans="8:8" ht="14.45">
      <c r="H661" s="45"/>
    </row>
    <row r="662" spans="8:8" ht="14.45">
      <c r="H662" s="45"/>
    </row>
    <row r="663" spans="8:8" ht="14.45">
      <c r="H663" s="45"/>
    </row>
    <row r="664" spans="8:8" ht="14.45">
      <c r="H664" s="45"/>
    </row>
    <row r="665" spans="8:8" ht="14.45">
      <c r="H665" s="45"/>
    </row>
    <row r="666" spans="8:8" ht="14.45">
      <c r="H666" s="45"/>
    </row>
    <row r="667" spans="8:8" ht="14.45">
      <c r="H667" s="45"/>
    </row>
    <row r="668" spans="8:8" ht="14.45">
      <c r="H668" s="45"/>
    </row>
    <row r="669" spans="8:8" ht="14.45">
      <c r="H669" s="45"/>
    </row>
    <row r="670" spans="8:8" ht="14.45">
      <c r="H670" s="45"/>
    </row>
    <row r="671" spans="8:8" ht="14.45">
      <c r="H671" s="45"/>
    </row>
    <row r="672" spans="8:8" ht="14.45">
      <c r="H672" s="45"/>
    </row>
    <row r="673" spans="8:8" ht="14.45">
      <c r="H673" s="45"/>
    </row>
    <row r="674" spans="8:8" ht="14.45">
      <c r="H674" s="45"/>
    </row>
    <row r="675" spans="8:8" ht="14.45">
      <c r="H675" s="45"/>
    </row>
    <row r="676" spans="8:8" ht="14.45">
      <c r="H676" s="45"/>
    </row>
    <row r="677" spans="8:8" ht="14.45">
      <c r="H677" s="45"/>
    </row>
    <row r="678" spans="8:8" ht="14.45">
      <c r="H678" s="45"/>
    </row>
    <row r="679" spans="8:8" ht="14.45">
      <c r="H679" s="45"/>
    </row>
    <row r="680" spans="8:8" ht="14.45">
      <c r="H680" s="45"/>
    </row>
    <row r="681" spans="8:8" ht="14.45">
      <c r="H681" s="45"/>
    </row>
    <row r="682" spans="8:8" ht="14.45">
      <c r="H682" s="45"/>
    </row>
    <row r="683" spans="8:8" ht="14.45">
      <c r="H683" s="45"/>
    </row>
    <row r="684" spans="8:8" ht="14.45">
      <c r="H684" s="45"/>
    </row>
    <row r="685" spans="8:8" ht="14.45">
      <c r="H685" s="45"/>
    </row>
    <row r="686" spans="8:8" ht="14.45">
      <c r="H686" s="45"/>
    </row>
    <row r="687" spans="8:8" ht="14.45">
      <c r="H687" s="45"/>
    </row>
    <row r="688" spans="8:8" ht="14.45">
      <c r="H688" s="45"/>
    </row>
    <row r="689" spans="8:8" ht="15" customHeight="1">
      <c r="H689" s="45"/>
    </row>
    <row r="690" spans="8:8" ht="15" customHeight="1">
      <c r="H690" s="45"/>
    </row>
    <row r="691" spans="8:8" ht="15" customHeight="1">
      <c r="H691" s="45"/>
    </row>
  </sheetData>
  <autoFilter ref="F1" xr:uid="{00000000-0009-0000-0000-000000000000}">
    <filterColumn colId="0">
      <filters>
        <filter val="Sahar Ali Fawzi"/>
      </filters>
    </filterColumn>
  </autoFilter>
  <mergeCells count="649">
    <mergeCell ref="J554:J560"/>
    <mergeCell ref="K554:K560"/>
    <mergeCell ref="L554:L560"/>
    <mergeCell ref="M554:M560"/>
    <mergeCell ref="J538:J544"/>
    <mergeCell ref="K538:K544"/>
    <mergeCell ref="L538:L544"/>
    <mergeCell ref="M538:M544"/>
    <mergeCell ref="G546:G552"/>
    <mergeCell ref="H546:H552"/>
    <mergeCell ref="I546:I552"/>
    <mergeCell ref="J546:J552"/>
    <mergeCell ref="K546:K552"/>
    <mergeCell ref="L546:L552"/>
    <mergeCell ref="M546:M552"/>
    <mergeCell ref="E538:E544"/>
    <mergeCell ref="F538:F544"/>
    <mergeCell ref="E546:E552"/>
    <mergeCell ref="F546:F552"/>
    <mergeCell ref="E554:E560"/>
    <mergeCell ref="F554:F560"/>
    <mergeCell ref="G538:G544"/>
    <mergeCell ref="H538:H544"/>
    <mergeCell ref="I538:I544"/>
    <mergeCell ref="G554:G560"/>
    <mergeCell ref="H554:H560"/>
    <mergeCell ref="I554:I560"/>
    <mergeCell ref="E522:E528"/>
    <mergeCell ref="F522:F528"/>
    <mergeCell ref="H522:H528"/>
    <mergeCell ref="I522:I528"/>
    <mergeCell ref="J522:J528"/>
    <mergeCell ref="K522:K528"/>
    <mergeCell ref="L522:L528"/>
    <mergeCell ref="M522:M528"/>
    <mergeCell ref="N522:N528"/>
    <mergeCell ref="E330:E336"/>
    <mergeCell ref="E378:E384"/>
    <mergeCell ref="E386:E392"/>
    <mergeCell ref="E226:E232"/>
    <mergeCell ref="E498:E504"/>
    <mergeCell ref="F386:F392"/>
    <mergeCell ref="H386:H392"/>
    <mergeCell ref="I386:I392"/>
    <mergeCell ref="J386:J392"/>
    <mergeCell ref="F498:F504"/>
    <mergeCell ref="H498:H504"/>
    <mergeCell ref="I498:I504"/>
    <mergeCell ref="J498:J504"/>
    <mergeCell ref="E354:E360"/>
    <mergeCell ref="F354:F360"/>
    <mergeCell ref="H354:H360"/>
    <mergeCell ref="I354:I360"/>
    <mergeCell ref="J354:J360"/>
    <mergeCell ref="E370:E376"/>
    <mergeCell ref="F370:F376"/>
    <mergeCell ref="H370:H376"/>
    <mergeCell ref="I370:I376"/>
    <mergeCell ref="J370:J376"/>
    <mergeCell ref="E338:E344"/>
    <mergeCell ref="K386:K392"/>
    <mergeCell ref="L386:L392"/>
    <mergeCell ref="M386:M392"/>
    <mergeCell ref="N386:N392"/>
    <mergeCell ref="E434:E440"/>
    <mergeCell ref="F434:F440"/>
    <mergeCell ref="H434:H440"/>
    <mergeCell ref="I434:I440"/>
    <mergeCell ref="J434:J440"/>
    <mergeCell ref="K434:K440"/>
    <mergeCell ref="L434:L440"/>
    <mergeCell ref="M434:M440"/>
    <mergeCell ref="N434:N440"/>
    <mergeCell ref="E402:E408"/>
    <mergeCell ref="E394:E400"/>
    <mergeCell ref="K394:K400"/>
    <mergeCell ref="L394:L400"/>
    <mergeCell ref="M394:M400"/>
    <mergeCell ref="N394:N400"/>
    <mergeCell ref="E426:E432"/>
    <mergeCell ref="F426:F432"/>
    <mergeCell ref="H426:H432"/>
    <mergeCell ref="I426:I432"/>
    <mergeCell ref="J426:J432"/>
    <mergeCell ref="K498:K504"/>
    <mergeCell ref="L498:L504"/>
    <mergeCell ref="M498:M504"/>
    <mergeCell ref="N498:N504"/>
    <mergeCell ref="F378:F384"/>
    <mergeCell ref="H378:H384"/>
    <mergeCell ref="I378:I384"/>
    <mergeCell ref="J378:J384"/>
    <mergeCell ref="K378:K384"/>
    <mergeCell ref="L378:L384"/>
    <mergeCell ref="M378:M384"/>
    <mergeCell ref="N378:N384"/>
    <mergeCell ref="F402:F408"/>
    <mergeCell ref="H402:H408"/>
    <mergeCell ref="I402:I408"/>
    <mergeCell ref="J402:J408"/>
    <mergeCell ref="K402:K408"/>
    <mergeCell ref="L402:L408"/>
    <mergeCell ref="M402:M408"/>
    <mergeCell ref="N402:N408"/>
    <mergeCell ref="F394:F400"/>
    <mergeCell ref="H394:H400"/>
    <mergeCell ref="I394:I400"/>
    <mergeCell ref="J394:J400"/>
    <mergeCell ref="E362:E368"/>
    <mergeCell ref="F362:F368"/>
    <mergeCell ref="H362:H368"/>
    <mergeCell ref="I362:I368"/>
    <mergeCell ref="J362:J368"/>
    <mergeCell ref="K362:K368"/>
    <mergeCell ref="L362:L368"/>
    <mergeCell ref="M362:M368"/>
    <mergeCell ref="N362:N368"/>
    <mergeCell ref="K370:K376"/>
    <mergeCell ref="L370:L376"/>
    <mergeCell ref="M370:M376"/>
    <mergeCell ref="N370:N376"/>
    <mergeCell ref="F330:F336"/>
    <mergeCell ref="H330:H336"/>
    <mergeCell ref="I330:I336"/>
    <mergeCell ref="J330:J336"/>
    <mergeCell ref="K330:K336"/>
    <mergeCell ref="L330:L336"/>
    <mergeCell ref="M330:M336"/>
    <mergeCell ref="N330:N336"/>
    <mergeCell ref="F338:F344"/>
    <mergeCell ref="H338:H344"/>
    <mergeCell ref="I338:I344"/>
    <mergeCell ref="J338:J344"/>
    <mergeCell ref="K338:K344"/>
    <mergeCell ref="L338:L344"/>
    <mergeCell ref="M338:M344"/>
    <mergeCell ref="N338:N344"/>
    <mergeCell ref="K354:K360"/>
    <mergeCell ref="L354:L360"/>
    <mergeCell ref="M354:M360"/>
    <mergeCell ref="N354:N360"/>
    <mergeCell ref="E346:E352"/>
    <mergeCell ref="F346:F352"/>
    <mergeCell ref="H346:H352"/>
    <mergeCell ref="I346:I352"/>
    <mergeCell ref="J346:J352"/>
    <mergeCell ref="K346:K352"/>
    <mergeCell ref="L346:L352"/>
    <mergeCell ref="M346:M352"/>
    <mergeCell ref="N346:N352"/>
    <mergeCell ref="E322:E328"/>
    <mergeCell ref="F322:F328"/>
    <mergeCell ref="H322:H328"/>
    <mergeCell ref="I322:I328"/>
    <mergeCell ref="J322:J328"/>
    <mergeCell ref="K322:K328"/>
    <mergeCell ref="L322:L328"/>
    <mergeCell ref="M322:M328"/>
    <mergeCell ref="N322:N328"/>
    <mergeCell ref="E298:E304"/>
    <mergeCell ref="F298:F304"/>
    <mergeCell ref="H298:H304"/>
    <mergeCell ref="I298:I304"/>
    <mergeCell ref="J298:J304"/>
    <mergeCell ref="K298:K304"/>
    <mergeCell ref="L298:L304"/>
    <mergeCell ref="M298:M304"/>
    <mergeCell ref="N298:N304"/>
    <mergeCell ref="E306:E312"/>
    <mergeCell ref="F306:F312"/>
    <mergeCell ref="H306:H312"/>
    <mergeCell ref="I306:I312"/>
    <mergeCell ref="J306:J312"/>
    <mergeCell ref="K306:K312"/>
    <mergeCell ref="L306:L312"/>
    <mergeCell ref="M306:M312"/>
    <mergeCell ref="N306:N312"/>
    <mergeCell ref="E314:E320"/>
    <mergeCell ref="F314:F320"/>
    <mergeCell ref="H314:H320"/>
    <mergeCell ref="I314:I320"/>
    <mergeCell ref="J314:J320"/>
    <mergeCell ref="K314:K320"/>
    <mergeCell ref="L314:L320"/>
    <mergeCell ref="M314:M320"/>
    <mergeCell ref="N314:N320"/>
    <mergeCell ref="E274:E280"/>
    <mergeCell ref="F274:F280"/>
    <mergeCell ref="H274:H280"/>
    <mergeCell ref="I274:I280"/>
    <mergeCell ref="J274:J280"/>
    <mergeCell ref="K274:K280"/>
    <mergeCell ref="L274:L280"/>
    <mergeCell ref="M274:M280"/>
    <mergeCell ref="N274:N280"/>
    <mergeCell ref="E282:E288"/>
    <mergeCell ref="F282:F288"/>
    <mergeCell ref="H282:H288"/>
    <mergeCell ref="I282:I288"/>
    <mergeCell ref="J282:J288"/>
    <mergeCell ref="K282:K288"/>
    <mergeCell ref="L282:L288"/>
    <mergeCell ref="M282:M288"/>
    <mergeCell ref="N282:N288"/>
    <mergeCell ref="E290:E296"/>
    <mergeCell ref="F290:F296"/>
    <mergeCell ref="H290:H296"/>
    <mergeCell ref="I290:I296"/>
    <mergeCell ref="J290:J296"/>
    <mergeCell ref="K290:K296"/>
    <mergeCell ref="L290:L296"/>
    <mergeCell ref="M290:M296"/>
    <mergeCell ref="N290:N296"/>
    <mergeCell ref="E250:E256"/>
    <mergeCell ref="F250:F256"/>
    <mergeCell ref="H250:H256"/>
    <mergeCell ref="I250:I256"/>
    <mergeCell ref="J250:J256"/>
    <mergeCell ref="K250:K256"/>
    <mergeCell ref="L250:L256"/>
    <mergeCell ref="M250:M256"/>
    <mergeCell ref="N250:N256"/>
    <mergeCell ref="E258:E264"/>
    <mergeCell ref="F258:F264"/>
    <mergeCell ref="H258:H264"/>
    <mergeCell ref="I258:I264"/>
    <mergeCell ref="J258:J264"/>
    <mergeCell ref="K258:K264"/>
    <mergeCell ref="L258:L264"/>
    <mergeCell ref="M258:M264"/>
    <mergeCell ref="N258:N264"/>
    <mergeCell ref="E266:E272"/>
    <mergeCell ref="F266:F272"/>
    <mergeCell ref="H266:H272"/>
    <mergeCell ref="I266:I272"/>
    <mergeCell ref="J266:J272"/>
    <mergeCell ref="K266:K272"/>
    <mergeCell ref="L266:L272"/>
    <mergeCell ref="M266:M272"/>
    <mergeCell ref="N266:N272"/>
    <mergeCell ref="E242:E248"/>
    <mergeCell ref="F242:F248"/>
    <mergeCell ref="H242:H248"/>
    <mergeCell ref="I242:I248"/>
    <mergeCell ref="J242:J248"/>
    <mergeCell ref="K242:K248"/>
    <mergeCell ref="L242:L248"/>
    <mergeCell ref="M242:M248"/>
    <mergeCell ref="N242:N248"/>
    <mergeCell ref="E218:E224"/>
    <mergeCell ref="F218:F224"/>
    <mergeCell ref="H218:H224"/>
    <mergeCell ref="I218:I224"/>
    <mergeCell ref="J218:J224"/>
    <mergeCell ref="K218:K224"/>
    <mergeCell ref="L218:L224"/>
    <mergeCell ref="M218:M224"/>
    <mergeCell ref="N218:N224"/>
    <mergeCell ref="F226:F232"/>
    <mergeCell ref="H226:H232"/>
    <mergeCell ref="I226:I232"/>
    <mergeCell ref="J226:J232"/>
    <mergeCell ref="K226:K232"/>
    <mergeCell ref="L226:L232"/>
    <mergeCell ref="M226:M232"/>
    <mergeCell ref="N226:N232"/>
    <mergeCell ref="E234:E240"/>
    <mergeCell ref="F234:F240"/>
    <mergeCell ref="H234:H240"/>
    <mergeCell ref="I234:I240"/>
    <mergeCell ref="J234:J240"/>
    <mergeCell ref="K234:K240"/>
    <mergeCell ref="L234:L240"/>
    <mergeCell ref="M234:M240"/>
    <mergeCell ref="N234:N240"/>
    <mergeCell ref="E194:E200"/>
    <mergeCell ref="F194:F200"/>
    <mergeCell ref="H194:H200"/>
    <mergeCell ref="I194:I200"/>
    <mergeCell ref="J194:J200"/>
    <mergeCell ref="K194:K200"/>
    <mergeCell ref="L194:L200"/>
    <mergeCell ref="M194:M200"/>
    <mergeCell ref="N194:N200"/>
    <mergeCell ref="E202:E208"/>
    <mergeCell ref="F202:F208"/>
    <mergeCell ref="H202:H208"/>
    <mergeCell ref="I202:I208"/>
    <mergeCell ref="J202:J208"/>
    <mergeCell ref="K202:K208"/>
    <mergeCell ref="L202:L208"/>
    <mergeCell ref="M202:M208"/>
    <mergeCell ref="N202:N208"/>
    <mergeCell ref="E210:E216"/>
    <mergeCell ref="F210:F216"/>
    <mergeCell ref="H210:H216"/>
    <mergeCell ref="I210:I216"/>
    <mergeCell ref="J210:J216"/>
    <mergeCell ref="K210:K216"/>
    <mergeCell ref="L210:L216"/>
    <mergeCell ref="M210:M216"/>
    <mergeCell ref="N210:N216"/>
    <mergeCell ref="E162:E168"/>
    <mergeCell ref="F162:F168"/>
    <mergeCell ref="H162:H168"/>
    <mergeCell ref="I162:I168"/>
    <mergeCell ref="J162:J168"/>
    <mergeCell ref="K162:K168"/>
    <mergeCell ref="L162:L168"/>
    <mergeCell ref="M162:M168"/>
    <mergeCell ref="N162:N168"/>
    <mergeCell ref="E170:E176"/>
    <mergeCell ref="F170:F176"/>
    <mergeCell ref="H170:H176"/>
    <mergeCell ref="I170:I176"/>
    <mergeCell ref="J170:J176"/>
    <mergeCell ref="K170:K176"/>
    <mergeCell ref="L170:L176"/>
    <mergeCell ref="M170:M176"/>
    <mergeCell ref="N170:N176"/>
    <mergeCell ref="E178:E184"/>
    <mergeCell ref="F178:F184"/>
    <mergeCell ref="H178:H184"/>
    <mergeCell ref="I178:I184"/>
    <mergeCell ref="J178:J184"/>
    <mergeCell ref="K178:K184"/>
    <mergeCell ref="L178:L184"/>
    <mergeCell ref="M178:M184"/>
    <mergeCell ref="N178:N184"/>
    <mergeCell ref="E186:E192"/>
    <mergeCell ref="F186:F192"/>
    <mergeCell ref="H186:H192"/>
    <mergeCell ref="I186:I192"/>
    <mergeCell ref="J186:J192"/>
    <mergeCell ref="K186:K192"/>
    <mergeCell ref="L186:L192"/>
    <mergeCell ref="M186:M192"/>
    <mergeCell ref="N186:N192"/>
    <mergeCell ref="E130:E136"/>
    <mergeCell ref="F130:F136"/>
    <mergeCell ref="H130:H136"/>
    <mergeCell ref="I130:I136"/>
    <mergeCell ref="J130:J136"/>
    <mergeCell ref="K130:K136"/>
    <mergeCell ref="L130:L136"/>
    <mergeCell ref="M130:M136"/>
    <mergeCell ref="N130:N136"/>
    <mergeCell ref="E138:E144"/>
    <mergeCell ref="F138:F144"/>
    <mergeCell ref="H138:H144"/>
    <mergeCell ref="I138:I144"/>
    <mergeCell ref="J138:J144"/>
    <mergeCell ref="K138:K144"/>
    <mergeCell ref="L138:L144"/>
    <mergeCell ref="M138:M144"/>
    <mergeCell ref="N138:N144"/>
    <mergeCell ref="E146:E152"/>
    <mergeCell ref="F146:F152"/>
    <mergeCell ref="H146:H152"/>
    <mergeCell ref="I146:I152"/>
    <mergeCell ref="J146:J152"/>
    <mergeCell ref="K146:K152"/>
    <mergeCell ref="L146:L152"/>
    <mergeCell ref="M146:M152"/>
    <mergeCell ref="N146:N152"/>
    <mergeCell ref="E154:E160"/>
    <mergeCell ref="F154:F160"/>
    <mergeCell ref="H154:H160"/>
    <mergeCell ref="I154:I160"/>
    <mergeCell ref="J154:J160"/>
    <mergeCell ref="K154:K160"/>
    <mergeCell ref="L154:L160"/>
    <mergeCell ref="M154:M160"/>
    <mergeCell ref="N154:N160"/>
    <mergeCell ref="E98:E104"/>
    <mergeCell ref="F98:F104"/>
    <mergeCell ref="H98:H104"/>
    <mergeCell ref="I98:I104"/>
    <mergeCell ref="J98:J104"/>
    <mergeCell ref="K98:K104"/>
    <mergeCell ref="L98:L104"/>
    <mergeCell ref="M98:M104"/>
    <mergeCell ref="N98:N104"/>
    <mergeCell ref="E106:E112"/>
    <mergeCell ref="F106:F112"/>
    <mergeCell ref="H106:H112"/>
    <mergeCell ref="I106:I112"/>
    <mergeCell ref="J106:J112"/>
    <mergeCell ref="K106:K112"/>
    <mergeCell ref="L106:L112"/>
    <mergeCell ref="M106:M112"/>
    <mergeCell ref="N106:N112"/>
    <mergeCell ref="E114:E120"/>
    <mergeCell ref="F114:F120"/>
    <mergeCell ref="H114:H120"/>
    <mergeCell ref="I114:I120"/>
    <mergeCell ref="J114:J120"/>
    <mergeCell ref="K114:K120"/>
    <mergeCell ref="L114:L120"/>
    <mergeCell ref="M114:M120"/>
    <mergeCell ref="N114:N120"/>
    <mergeCell ref="E122:E128"/>
    <mergeCell ref="F122:F128"/>
    <mergeCell ref="H122:H128"/>
    <mergeCell ref="I122:I128"/>
    <mergeCell ref="J122:J128"/>
    <mergeCell ref="K122:K128"/>
    <mergeCell ref="L122:L128"/>
    <mergeCell ref="M122:M128"/>
    <mergeCell ref="N122:N128"/>
    <mergeCell ref="E66:E72"/>
    <mergeCell ref="F66:F72"/>
    <mergeCell ref="H66:H72"/>
    <mergeCell ref="I66:I72"/>
    <mergeCell ref="J66:J72"/>
    <mergeCell ref="K66:K72"/>
    <mergeCell ref="L66:L72"/>
    <mergeCell ref="M66:M72"/>
    <mergeCell ref="N66:N72"/>
    <mergeCell ref="E74:E80"/>
    <mergeCell ref="F74:F80"/>
    <mergeCell ref="H74:H80"/>
    <mergeCell ref="I74:I80"/>
    <mergeCell ref="J74:J80"/>
    <mergeCell ref="K74:K80"/>
    <mergeCell ref="L74:L80"/>
    <mergeCell ref="M74:M80"/>
    <mergeCell ref="N74:N80"/>
    <mergeCell ref="E82:E88"/>
    <mergeCell ref="F82:F88"/>
    <mergeCell ref="H82:H88"/>
    <mergeCell ref="I82:I88"/>
    <mergeCell ref="J82:J88"/>
    <mergeCell ref="K82:K88"/>
    <mergeCell ref="L82:L88"/>
    <mergeCell ref="M82:M88"/>
    <mergeCell ref="N82:N88"/>
    <mergeCell ref="E90:E96"/>
    <mergeCell ref="F90:F96"/>
    <mergeCell ref="H90:H96"/>
    <mergeCell ref="I90:I96"/>
    <mergeCell ref="J90:J96"/>
    <mergeCell ref="K90:K96"/>
    <mergeCell ref="L90:L96"/>
    <mergeCell ref="M90:M96"/>
    <mergeCell ref="N90:N96"/>
    <mergeCell ref="F34:F40"/>
    <mergeCell ref="H34:H40"/>
    <mergeCell ref="I34:I40"/>
    <mergeCell ref="J34:J40"/>
    <mergeCell ref="K34:K40"/>
    <mergeCell ref="L34:L40"/>
    <mergeCell ref="M34:M40"/>
    <mergeCell ref="N34:N40"/>
    <mergeCell ref="E42:E48"/>
    <mergeCell ref="F42:F48"/>
    <mergeCell ref="H42:H48"/>
    <mergeCell ref="I42:I48"/>
    <mergeCell ref="J42:J48"/>
    <mergeCell ref="K42:K48"/>
    <mergeCell ref="L42:L48"/>
    <mergeCell ref="M42:M48"/>
    <mergeCell ref="N42:N48"/>
    <mergeCell ref="E34:E40"/>
    <mergeCell ref="E50:E56"/>
    <mergeCell ref="F50:F56"/>
    <mergeCell ref="H50:H56"/>
    <mergeCell ref="I50:I56"/>
    <mergeCell ref="J50:J56"/>
    <mergeCell ref="K50:K56"/>
    <mergeCell ref="L50:L56"/>
    <mergeCell ref="M50:M56"/>
    <mergeCell ref="N50:N56"/>
    <mergeCell ref="E58:E64"/>
    <mergeCell ref="F58:F64"/>
    <mergeCell ref="H58:H64"/>
    <mergeCell ref="I58:I64"/>
    <mergeCell ref="J58:J64"/>
    <mergeCell ref="K58:K64"/>
    <mergeCell ref="L58:L64"/>
    <mergeCell ref="M58:M64"/>
    <mergeCell ref="N58:N64"/>
    <mergeCell ref="E2:E8"/>
    <mergeCell ref="F2:F8"/>
    <mergeCell ref="H2:H8"/>
    <mergeCell ref="I2:I8"/>
    <mergeCell ref="J2:J8"/>
    <mergeCell ref="K2:K8"/>
    <mergeCell ref="L2:L8"/>
    <mergeCell ref="M2:M8"/>
    <mergeCell ref="N2:N8"/>
    <mergeCell ref="E10:E16"/>
    <mergeCell ref="F10:F16"/>
    <mergeCell ref="H10:H16"/>
    <mergeCell ref="I10:I16"/>
    <mergeCell ref="J10:J16"/>
    <mergeCell ref="K10:K16"/>
    <mergeCell ref="L10:L16"/>
    <mergeCell ref="M10:M16"/>
    <mergeCell ref="N10:N16"/>
    <mergeCell ref="E18:E24"/>
    <mergeCell ref="F18:F24"/>
    <mergeCell ref="H18:H24"/>
    <mergeCell ref="I18:I24"/>
    <mergeCell ref="J18:J24"/>
    <mergeCell ref="K18:K24"/>
    <mergeCell ref="L18:L24"/>
    <mergeCell ref="M18:M24"/>
    <mergeCell ref="N18:N24"/>
    <mergeCell ref="E26:E32"/>
    <mergeCell ref="F26:F32"/>
    <mergeCell ref="H26:H32"/>
    <mergeCell ref="I26:I32"/>
    <mergeCell ref="J26:J32"/>
    <mergeCell ref="K26:K32"/>
    <mergeCell ref="L26:L32"/>
    <mergeCell ref="M26:M32"/>
    <mergeCell ref="N26:N32"/>
    <mergeCell ref="M458:M464"/>
    <mergeCell ref="N458:N464"/>
    <mergeCell ref="E410:E416"/>
    <mergeCell ref="F410:F416"/>
    <mergeCell ref="H410:H416"/>
    <mergeCell ref="I410:I416"/>
    <mergeCell ref="J410:J416"/>
    <mergeCell ref="K410:K416"/>
    <mergeCell ref="L410:L416"/>
    <mergeCell ref="M410:M416"/>
    <mergeCell ref="N410:N416"/>
    <mergeCell ref="K426:K432"/>
    <mergeCell ref="L426:L432"/>
    <mergeCell ref="M426:M432"/>
    <mergeCell ref="N426:N432"/>
    <mergeCell ref="E418:E424"/>
    <mergeCell ref="F418:F424"/>
    <mergeCell ref="H418:H424"/>
    <mergeCell ref="I418:I424"/>
    <mergeCell ref="J418:J424"/>
    <mergeCell ref="K418:K424"/>
    <mergeCell ref="L418:L424"/>
    <mergeCell ref="M418:M424"/>
    <mergeCell ref="N418:N424"/>
    <mergeCell ref="M442:M448"/>
    <mergeCell ref="N442:N448"/>
    <mergeCell ref="E450:E456"/>
    <mergeCell ref="F450:F456"/>
    <mergeCell ref="H450:H456"/>
    <mergeCell ref="I450:I456"/>
    <mergeCell ref="J450:J456"/>
    <mergeCell ref="K450:K456"/>
    <mergeCell ref="L450:L456"/>
    <mergeCell ref="M450:M456"/>
    <mergeCell ref="N450:N456"/>
    <mergeCell ref="E466:E472"/>
    <mergeCell ref="H466:H472"/>
    <mergeCell ref="E442:E448"/>
    <mergeCell ref="F442:F448"/>
    <mergeCell ref="H442:H448"/>
    <mergeCell ref="I442:I448"/>
    <mergeCell ref="J442:J448"/>
    <mergeCell ref="K442:K448"/>
    <mergeCell ref="L442:L448"/>
    <mergeCell ref="E458:E464"/>
    <mergeCell ref="F458:F464"/>
    <mergeCell ref="H458:H464"/>
    <mergeCell ref="I458:I464"/>
    <mergeCell ref="J458:J464"/>
    <mergeCell ref="K458:K464"/>
    <mergeCell ref="L458:L464"/>
    <mergeCell ref="M474:M480"/>
    <mergeCell ref="N474:N480"/>
    <mergeCell ref="I466:I472"/>
    <mergeCell ref="J466:J472"/>
    <mergeCell ref="K466:K472"/>
    <mergeCell ref="L466:L472"/>
    <mergeCell ref="M466:M472"/>
    <mergeCell ref="N466:N472"/>
    <mergeCell ref="F466:F472"/>
    <mergeCell ref="N490:N496"/>
    <mergeCell ref="E482:E488"/>
    <mergeCell ref="F482:F488"/>
    <mergeCell ref="H482:H488"/>
    <mergeCell ref="I482:I488"/>
    <mergeCell ref="J482:J488"/>
    <mergeCell ref="K482:K488"/>
    <mergeCell ref="L482:L488"/>
    <mergeCell ref="M482:M488"/>
    <mergeCell ref="N482:N488"/>
    <mergeCell ref="N514:N520"/>
    <mergeCell ref="E506:E512"/>
    <mergeCell ref="F506:F512"/>
    <mergeCell ref="H506:H512"/>
    <mergeCell ref="I506:I512"/>
    <mergeCell ref="J506:J512"/>
    <mergeCell ref="K506:K512"/>
    <mergeCell ref="L506:L512"/>
    <mergeCell ref="M506:M512"/>
    <mergeCell ref="N506:N512"/>
    <mergeCell ref="G330:G336"/>
    <mergeCell ref="E514:E520"/>
    <mergeCell ref="F514:F520"/>
    <mergeCell ref="H514:H520"/>
    <mergeCell ref="I514:I520"/>
    <mergeCell ref="J514:J520"/>
    <mergeCell ref="K514:K520"/>
    <mergeCell ref="L514:L520"/>
    <mergeCell ref="M514:M520"/>
    <mergeCell ref="E490:E496"/>
    <mergeCell ref="F490:F496"/>
    <mergeCell ref="H490:H496"/>
    <mergeCell ref="I490:I496"/>
    <mergeCell ref="J490:J496"/>
    <mergeCell ref="K490:K496"/>
    <mergeCell ref="L490:L496"/>
    <mergeCell ref="M490:M496"/>
    <mergeCell ref="E474:E480"/>
    <mergeCell ref="F474:F480"/>
    <mergeCell ref="H474:H480"/>
    <mergeCell ref="I474:I480"/>
    <mergeCell ref="J474:J480"/>
    <mergeCell ref="K474:K480"/>
    <mergeCell ref="L474:L480"/>
    <mergeCell ref="E530:E536"/>
    <mergeCell ref="F530:F536"/>
    <mergeCell ref="H530:H536"/>
    <mergeCell ref="I530:I536"/>
    <mergeCell ref="J530:J536"/>
    <mergeCell ref="K530:K536"/>
    <mergeCell ref="L530:L536"/>
    <mergeCell ref="M530:M536"/>
    <mergeCell ref="N530:N536"/>
    <mergeCell ref="E562:E568"/>
    <mergeCell ref="F562:F568"/>
    <mergeCell ref="G562:G568"/>
    <mergeCell ref="H562:H568"/>
    <mergeCell ref="I562:I568"/>
    <mergeCell ref="J562:J568"/>
    <mergeCell ref="K562:K568"/>
    <mergeCell ref="L562:L568"/>
    <mergeCell ref="M562:M568"/>
    <mergeCell ref="E571:E577"/>
    <mergeCell ref="F571:F577"/>
    <mergeCell ref="G571:G577"/>
    <mergeCell ref="H571:H577"/>
    <mergeCell ref="I571:I577"/>
    <mergeCell ref="J571:J577"/>
    <mergeCell ref="K571:K577"/>
    <mergeCell ref="L571:L577"/>
    <mergeCell ref="M571:M577"/>
  </mergeCells>
  <conditionalFormatting sqref="A439">
    <cfRule type="duplicateValues" dxfId="33" priority="38"/>
  </conditionalFormatting>
  <conditionalFormatting sqref="A450">
    <cfRule type="duplicateValues" dxfId="32" priority="684"/>
  </conditionalFormatting>
  <conditionalFormatting sqref="A521 A527:A529">
    <cfRule type="duplicateValues" dxfId="31" priority="3620"/>
  </conditionalFormatting>
  <conditionalFormatting sqref="A534">
    <cfRule type="duplicateValues" dxfId="30" priority="25"/>
  </conditionalFormatting>
  <conditionalFormatting sqref="A535:A536">
    <cfRule type="duplicateValues" dxfId="29" priority="26"/>
  </conditionalFormatting>
  <conditionalFormatting sqref="B487">
    <cfRule type="duplicateValues" dxfId="28" priority="41"/>
  </conditionalFormatting>
  <conditionalFormatting sqref="B495">
    <cfRule type="duplicateValues" dxfId="27" priority="39"/>
  </conditionalFormatting>
  <conditionalFormatting sqref="B503">
    <cfRule type="duplicateValues" dxfId="26" priority="33"/>
  </conditionalFormatting>
  <conditionalFormatting sqref="C502:C504">
    <cfRule type="duplicateValues" dxfId="25" priority="34"/>
  </conditionalFormatting>
  <conditionalFormatting sqref="C520">
    <cfRule type="duplicateValues" dxfId="24" priority="30"/>
  </conditionalFormatting>
  <conditionalFormatting sqref="C579:C1048576 C528 C1 C6:C8 C16 C24 C32 C47:C48 C54:C56 C64 C72 C80 C88 C96 C104 C111:C112 C119:C120 C135:C136 C152 C159:C160 C168 C176 C184 C192 C214:C216 C223:C224 C248 C256 C264 C272 C279:C280 C288 C296 C303:C304 C311:C312 C320 C336 C344 C359:C360 C368 C376 C384 C447 C415:C416 C432 C471:C472 C480 C328 C456 C198 C453:C454 C200 C424 C407:C408 C399:C400 C486:C488 C464 C495:C496 C512 C440 C536">
    <cfRule type="duplicateValues" dxfId="23" priority="3661"/>
  </conditionalFormatting>
  <conditionalFormatting sqref="A537">
    <cfRule type="duplicateValues" dxfId="22" priority="24"/>
  </conditionalFormatting>
  <conditionalFormatting sqref="A537">
    <cfRule type="duplicateValues" dxfId="21" priority="23"/>
  </conditionalFormatting>
  <conditionalFormatting sqref="A543:A545 A560 A550:A553">
    <cfRule type="duplicateValues" dxfId="20" priority="20"/>
  </conditionalFormatting>
  <conditionalFormatting sqref="A545 A551:A553">
    <cfRule type="duplicateValues" dxfId="19" priority="19"/>
  </conditionalFormatting>
  <conditionalFormatting sqref="A550 A543:A544">
    <cfRule type="duplicateValues" dxfId="18" priority="22"/>
  </conditionalFormatting>
  <conditionalFormatting sqref="A560">
    <cfRule type="duplicateValues" dxfId="17" priority="17"/>
  </conditionalFormatting>
  <conditionalFormatting sqref="C544">
    <cfRule type="duplicateValues" dxfId="16" priority="18"/>
  </conditionalFormatting>
  <conditionalFormatting sqref="C552 C560">
    <cfRule type="duplicateValues" dxfId="15" priority="21"/>
  </conditionalFormatting>
  <conditionalFormatting sqref="A561">
    <cfRule type="duplicateValues" dxfId="14" priority="15"/>
  </conditionalFormatting>
  <conditionalFormatting sqref="A561">
    <cfRule type="duplicateValues" dxfId="13" priority="14"/>
  </conditionalFormatting>
  <conditionalFormatting sqref="H1:H1048576">
    <cfRule type="duplicateValues" dxfId="12" priority="13"/>
  </conditionalFormatting>
  <conditionalFormatting sqref="A568:A569">
    <cfRule type="duplicateValues" dxfId="11" priority="11"/>
  </conditionalFormatting>
  <conditionalFormatting sqref="A568">
    <cfRule type="duplicateValues" dxfId="10" priority="9"/>
  </conditionalFormatting>
  <conditionalFormatting sqref="C568">
    <cfRule type="duplicateValues" dxfId="9" priority="12"/>
  </conditionalFormatting>
  <conditionalFormatting sqref="A569">
    <cfRule type="duplicateValues" dxfId="8" priority="8"/>
  </conditionalFormatting>
  <conditionalFormatting sqref="A480:A486 A1:A14 A41:A69 A16:A30 A32:A39 A478 A472:A475 A488:A494 A192:A196 A198 A200:A217 A223:A225 A152:A190 A145:A150 A129:A143 A72:A127 A440:A447 A288:A292 A336:A337 A384:A385 A393 A233:A237 A353 A579:B1048576 A241:A262 A518:A521 A534:A536 A504:A505 A264:A282 A296:A313 A319:A321 A326:A329 A343:A345 A358:A361 A366:A369 A375:A377 A398:A401 A406:A409 A415:A417 A431:A433 A424:A425 A496:A502 A512:A513 A527:A529 A449:A470">
    <cfRule type="duplicateValues" dxfId="7" priority="3796"/>
  </conditionalFormatting>
  <conditionalFormatting sqref="A570">
    <cfRule type="duplicateValues" dxfId="6" priority="6"/>
  </conditionalFormatting>
  <conditionalFormatting sqref="A570">
    <cfRule type="duplicateValues" dxfId="5" priority="5"/>
  </conditionalFormatting>
  <conditionalFormatting sqref="A577:A578">
    <cfRule type="duplicateValues" dxfId="4" priority="3"/>
  </conditionalFormatting>
  <conditionalFormatting sqref="A577">
    <cfRule type="duplicateValues" dxfId="3" priority="2"/>
  </conditionalFormatting>
  <conditionalFormatting sqref="C577">
    <cfRule type="duplicateValues" dxfId="2" priority="4"/>
  </conditionalFormatting>
  <conditionalFormatting sqref="A578">
    <cfRule type="duplicateValues" dxfId="1" priority="1"/>
  </conditionalFormatting>
  <conditionalFormatting sqref="A288:A292 A198:A217 A152:A196 A71:A150 A2:A69 A518:A520 A233:A238 A335:A337 A353 A223:A231 A241:A283 A296:A313 A319:A321 A326:A329 A343:A345 A349 A358:A361 A366:A369 A375:A377 A384:A385 A393 A391 A398:A401 A406:A409 A415:A417 A431:A433 A424:A425 A478:A505 A512:A513 A439:A475">
    <cfRule type="duplicateValues" dxfId="0" priority="3954"/>
  </conditionalFormatting>
  <hyperlinks>
    <hyperlink ref="C434" r:id="rId1" xr:uid="{00000000-0004-0000-0000-000000000000}"/>
    <hyperlink ref="C435" r:id="rId2" xr:uid="{00000000-0004-0000-0000-000001000000}"/>
    <hyperlink ref="C436" r:id="rId3" xr:uid="{00000000-0004-0000-0000-000002000000}"/>
    <hyperlink ref="C437" r:id="rId4" xr:uid="{00000000-0004-0000-0000-000003000000}"/>
    <hyperlink ref="C442" r:id="rId5" display="mailto:A.Ahmed2102@nu.edu.eg" xr:uid="{00000000-0004-0000-0000-000004000000}"/>
    <hyperlink ref="C443" r:id="rId6" display="mailto:a.magdy2262@nu.edu.eg" xr:uid="{00000000-0004-0000-0000-000005000000}"/>
    <hyperlink ref="C444" r:id="rId7" display="mailto:l.ahmed2221@nu.edu.eg" xr:uid="{00000000-0004-0000-0000-000006000000}"/>
    <hyperlink ref="C450" r:id="rId8" display="mailto:T.salem2373@nu.edu.eg" xr:uid="{00000000-0004-0000-0000-000007000000}"/>
    <hyperlink ref="C451" r:id="rId9" display="mailto:m.semary@nu.edu.eg" xr:uid="{00000000-0004-0000-0000-000008000000}"/>
    <hyperlink ref="C452" r:id="rId10" display="mailto:a.usama2269@nu.edu.eg" xr:uid="{00000000-0004-0000-0000-000009000000}"/>
    <hyperlink ref="C453" r:id="rId11" display="mailto:y.helmy2334@nu.edu.eg" xr:uid="{00000000-0004-0000-0000-00000A000000}"/>
    <hyperlink ref="C458" r:id="rId12" display="mailto:O.Mohamed2366@nu.edu.eg" xr:uid="{00000000-0004-0000-0000-00000B000000}"/>
    <hyperlink ref="C459" r:id="rId13" display="mailto:A.omar2124@nu.edu.eg" xr:uid="{00000000-0004-0000-0000-00000C000000}"/>
    <hyperlink ref="C460" r:id="rId14" display="mailto:A.Ayman2212@nu.edu.eg" xr:uid="{00000000-0004-0000-0000-00000D000000}"/>
    <hyperlink ref="C461" r:id="rId15" display="mailto:A.Mohsen2312@nu.edu.eg" xr:uid="{00000000-0004-0000-0000-00000E000000}"/>
    <hyperlink ref="C466" r:id="rId16" display="mailto:k.emad2320@nu.edu.eg" xr:uid="{00000000-0004-0000-0000-00000F000000}"/>
    <hyperlink ref="C467" r:id="rId17" display="mailto:Y.khaled2303@nu.edu.eg" xr:uid="{00000000-0004-0000-0000-000010000000}"/>
    <hyperlink ref="C468" r:id="rId18" display="mailto:Ammaralhassan05@gmail.com" xr:uid="{00000000-0004-0000-0000-000011000000}"/>
    <hyperlink ref="C469" r:id="rId19" display="mailto:M.2396@nu.edu.eg" xr:uid="{00000000-0004-0000-0000-000012000000}"/>
    <hyperlink ref="C474" r:id="rId20" display="mailto:o.abdallah2325@nu.edu.eg" xr:uid="{00000000-0004-0000-0000-000013000000}"/>
    <hyperlink ref="C470" r:id="rId21" display="mailto:M.mohamed2331@nu.edu.eg" xr:uid="{00000000-0004-0000-0000-000014000000}"/>
    <hyperlink ref="C455" r:id="rId22" display="mailto:H.Ramadan2311@nu.edu.eg" xr:uid="{00000000-0004-0000-0000-000015000000}"/>
    <hyperlink ref="C482" r:id="rId23" display="mailto:a.yasser2230@nu.edu.eg" xr:uid="{00000000-0004-0000-0000-000016000000}"/>
    <hyperlink ref="C483" r:id="rId24" display="mailto:ah.dawood@nu.edu.eg" xr:uid="{00000000-0004-0000-0000-000017000000}"/>
    <hyperlink ref="C484" r:id="rId25" display="mailto:t.waleed2361@nu.edu.eg" xr:uid="{00000000-0004-0000-0000-000018000000}"/>
    <hyperlink ref="C490" r:id="rId26" display="mailto:D.ashraf2291@nu.edu.eg" xr:uid="{00000000-0004-0000-0000-000019000000}"/>
    <hyperlink ref="C491" r:id="rId27" display="mailto:a.abdeltwab2340@nu.edu.eg" xr:uid="{00000000-0004-0000-0000-00001A000000}"/>
    <hyperlink ref="C492" r:id="rId28" display="mailto:A.Mohamed2330@nu.edu.eg" xr:uid="{00000000-0004-0000-0000-00001B000000}"/>
    <hyperlink ref="C506" r:id="rId29" xr:uid="{C86BDE65-DCE8-4847-9757-DB5935257EFF}"/>
    <hyperlink ref="C507" r:id="rId30" xr:uid="{83EA6D37-9796-49B5-8ED4-94B90D881D9F}"/>
    <hyperlink ref="C508" r:id="rId31" xr:uid="{6627F875-6CB6-4729-9DA3-72B5184A5662}"/>
    <hyperlink ref="C509" r:id="rId32" xr:uid="{8B752E09-419B-47A4-83FE-529F449649C7}"/>
    <hyperlink ref="C510" r:id="rId33" xr:uid="{D9A54AD9-1B8D-4D13-8C26-2A3B82D9F6C6}"/>
    <hyperlink ref="C511" r:id="rId34" xr:uid="{7ACA4534-01B0-4196-98CB-7D3FB9BA7690}"/>
    <hyperlink ref="C522" r:id="rId35" xr:uid="{E0867D81-3B4A-4C12-9799-F2A826A78543}"/>
    <hyperlink ref="C475" r:id="rId36" xr:uid="{A32823D5-4461-4997-AB9A-E559EA8F5B4D}"/>
    <hyperlink ref="C454" r:id="rId37" xr:uid="{512551EA-B863-4606-A725-1D9198DFCE8C}"/>
    <hyperlink ref="C523" r:id="rId38" xr:uid="{D5D6A3A1-57B1-4013-941D-DE383F9E9689}"/>
    <hyperlink ref="C524" r:id="rId39" xr:uid="{B85BE8F9-63C2-4933-9E00-5ABBE5D67A5D}"/>
    <hyperlink ref="C525" r:id="rId40" xr:uid="{63D78AB4-66D8-4875-82C0-8E8C6AD85862}"/>
    <hyperlink ref="C526" r:id="rId41" xr:uid="{995F65C2-F2D8-4771-966E-932FFDA02841}"/>
    <hyperlink ref="C546" r:id="rId42" xr:uid="{EC8D33B6-8BF7-4103-B311-C6F7885A4679}"/>
    <hyperlink ref="C547" r:id="rId43" xr:uid="{7BB189A2-09CF-4875-AC8A-99B40FC69E29}"/>
    <hyperlink ref="C548" r:id="rId44" xr:uid="{AA05796C-D926-49B2-B95B-11279BAED91D}"/>
    <hyperlink ref="C549" r:id="rId45" xr:uid="{03BC4B4A-82CC-43DD-8D5C-9B016530687D}"/>
    <hyperlink ref="C562" r:id="rId46" xr:uid="{7A6895C9-772D-4EB1-B683-AE5DCA6E811A}"/>
    <hyperlink ref="C563" r:id="rId47" xr:uid="{9EFD5F87-EE44-4E99-9BED-719F9224C016}"/>
    <hyperlink ref="C564" r:id="rId48" xr:uid="{AA115743-7C0B-469A-AC79-9149EB6CA9A2}"/>
    <hyperlink ref="C565" r:id="rId49" xr:uid="{D1E23BAC-48C8-451F-B58B-D9E50B61D259}"/>
    <hyperlink ref="C566" r:id="rId50" xr:uid="{098EAFBF-7262-4351-BB2F-9440924277FD}"/>
    <hyperlink ref="C567" r:id="rId51" xr:uid="{025A18A3-2CC3-4F05-AAD3-7724C8F941F4}"/>
  </hyperlinks>
  <pageMargins left="0.7" right="0.7" top="0.75" bottom="0.75" header="0.3" footer="0.3"/>
  <pageSetup paperSize="9" orientation="portrait" r:id="rId5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9"/>
  <sheetViews>
    <sheetView workbookViewId="0">
      <selection activeCell="I23" sqref="I23"/>
    </sheetView>
  </sheetViews>
  <sheetFormatPr defaultColWidth="8.85546875" defaultRowHeight="14.45"/>
  <cols>
    <col min="7" max="7" width="39.28515625" bestFit="1" customWidth="1"/>
    <col min="8" max="8" width="22.140625" bestFit="1" customWidth="1"/>
    <col min="9" max="9" width="125" bestFit="1" customWidth="1"/>
    <col min="10" max="10" width="40.7109375" bestFit="1" customWidth="1"/>
    <col min="11" max="12" width="255.7109375" bestFit="1" customWidth="1"/>
    <col min="14" max="14" width="122.42578125" bestFit="1" customWidth="1"/>
  </cols>
  <sheetData>
    <row r="1" spans="1:14">
      <c r="A1" t="s">
        <v>0</v>
      </c>
      <c r="B1" t="s">
        <v>926</v>
      </c>
      <c r="C1" t="s">
        <v>927</v>
      </c>
      <c r="D1" t="s">
        <v>928</v>
      </c>
      <c r="E1" t="s">
        <v>1</v>
      </c>
      <c r="F1" t="s">
        <v>929</v>
      </c>
      <c r="G1" t="s">
        <v>930</v>
      </c>
      <c r="H1" t="s">
        <v>931</v>
      </c>
      <c r="I1" t="s">
        <v>932</v>
      </c>
      <c r="J1" t="s">
        <v>933</v>
      </c>
      <c r="K1" t="s">
        <v>934</v>
      </c>
      <c r="L1" t="s">
        <v>935</v>
      </c>
      <c r="M1" t="s">
        <v>936</v>
      </c>
      <c r="N1" t="s">
        <v>937</v>
      </c>
    </row>
    <row r="2" spans="1:14">
      <c r="A2">
        <v>9</v>
      </c>
      <c r="B2">
        <v>45789.526921296303</v>
      </c>
      <c r="C2">
        <v>45789.536203703698</v>
      </c>
      <c r="D2" t="s">
        <v>938</v>
      </c>
      <c r="G2" t="s">
        <v>939</v>
      </c>
      <c r="H2" t="s">
        <v>940</v>
      </c>
      <c r="I2" t="s">
        <v>941</v>
      </c>
      <c r="J2" t="s">
        <v>942</v>
      </c>
      <c r="K2" t="s">
        <v>943</v>
      </c>
      <c r="L2" t="s">
        <v>944</v>
      </c>
      <c r="M2" t="s">
        <v>945</v>
      </c>
      <c r="N2" t="s">
        <v>946</v>
      </c>
    </row>
    <row r="3" spans="1:14">
      <c r="A3">
        <v>37</v>
      </c>
      <c r="B3">
        <v>45811.456261574102</v>
      </c>
      <c r="C3">
        <v>45811.493020833303</v>
      </c>
      <c r="D3" t="s">
        <v>938</v>
      </c>
      <c r="G3" t="s">
        <v>947</v>
      </c>
      <c r="H3" t="s">
        <v>948</v>
      </c>
      <c r="I3" t="s">
        <v>949</v>
      </c>
      <c r="J3" t="s">
        <v>950</v>
      </c>
      <c r="K3" t="s">
        <v>951</v>
      </c>
      <c r="L3" t="s">
        <v>952</v>
      </c>
      <c r="M3" t="s">
        <v>945</v>
      </c>
      <c r="N3" t="s">
        <v>953</v>
      </c>
    </row>
    <row r="4" spans="1:14">
      <c r="A4">
        <v>39</v>
      </c>
      <c r="B4">
        <v>45812.620312500003</v>
      </c>
      <c r="C4">
        <v>45812.621851851902</v>
      </c>
      <c r="D4" t="s">
        <v>938</v>
      </c>
      <c r="G4" t="s">
        <v>954</v>
      </c>
      <c r="H4" t="s">
        <v>955</v>
      </c>
      <c r="I4" t="s">
        <v>956</v>
      </c>
      <c r="J4" t="s">
        <v>957</v>
      </c>
      <c r="M4" t="s">
        <v>945</v>
      </c>
      <c r="N4" t="s">
        <v>958</v>
      </c>
    </row>
    <row r="5" spans="1:14">
      <c r="A5">
        <v>40</v>
      </c>
      <c r="B5">
        <v>45812.621886574103</v>
      </c>
      <c r="C5">
        <v>45812.6225231481</v>
      </c>
      <c r="D5" t="s">
        <v>938</v>
      </c>
      <c r="G5" t="s">
        <v>954</v>
      </c>
      <c r="H5" t="s">
        <v>955</v>
      </c>
      <c r="I5" t="s">
        <v>959</v>
      </c>
      <c r="J5" t="s">
        <v>960</v>
      </c>
      <c r="M5" t="s">
        <v>945</v>
      </c>
      <c r="N5" t="s">
        <v>961</v>
      </c>
    </row>
    <row r="6" spans="1:14">
      <c r="A6">
        <v>41</v>
      </c>
      <c r="B6">
        <v>45813.464525463001</v>
      </c>
      <c r="C6">
        <v>45813.4672222222</v>
      </c>
      <c r="D6" t="s">
        <v>938</v>
      </c>
      <c r="G6" t="s">
        <v>962</v>
      </c>
      <c r="H6" t="s">
        <v>963</v>
      </c>
      <c r="I6" t="s">
        <v>964</v>
      </c>
      <c r="J6" t="s">
        <v>950</v>
      </c>
      <c r="K6" t="s">
        <v>965</v>
      </c>
      <c r="M6" t="s">
        <v>945</v>
      </c>
      <c r="N6" t="s">
        <v>966</v>
      </c>
    </row>
    <row r="7" spans="1:14">
      <c r="A7">
        <v>42</v>
      </c>
      <c r="B7">
        <v>45813.467523148101</v>
      </c>
      <c r="C7">
        <v>45813.469131944403</v>
      </c>
      <c r="D7" t="s">
        <v>938</v>
      </c>
      <c r="G7" t="s">
        <v>962</v>
      </c>
      <c r="H7" t="s">
        <v>963</v>
      </c>
      <c r="I7" t="s">
        <v>83</v>
      </c>
      <c r="J7" t="s">
        <v>960</v>
      </c>
      <c r="K7" t="s">
        <v>83</v>
      </c>
      <c r="M7" t="s">
        <v>945</v>
      </c>
      <c r="N7" t="s">
        <v>967</v>
      </c>
    </row>
    <row r="8" spans="1:14">
      <c r="A8">
        <v>43</v>
      </c>
      <c r="B8">
        <v>45813.469212962998</v>
      </c>
      <c r="C8">
        <v>45813.471585648098</v>
      </c>
      <c r="D8" t="s">
        <v>938</v>
      </c>
      <c r="G8" t="s">
        <v>962</v>
      </c>
      <c r="H8" t="s">
        <v>963</v>
      </c>
      <c r="I8" t="s">
        <v>968</v>
      </c>
      <c r="J8" t="s">
        <v>969</v>
      </c>
      <c r="K8" t="s">
        <v>970</v>
      </c>
      <c r="M8" t="s">
        <v>945</v>
      </c>
      <c r="N8" t="s">
        <v>971</v>
      </c>
    </row>
    <row r="9" spans="1:14">
      <c r="A9">
        <v>44</v>
      </c>
      <c r="B9">
        <v>45813.471643518496</v>
      </c>
      <c r="C9">
        <v>45813.473055555602</v>
      </c>
      <c r="D9" t="s">
        <v>938</v>
      </c>
      <c r="G9" t="s">
        <v>962</v>
      </c>
      <c r="H9" t="s">
        <v>963</v>
      </c>
      <c r="I9" t="s">
        <v>972</v>
      </c>
      <c r="J9" t="s">
        <v>950</v>
      </c>
      <c r="K9" t="s">
        <v>973</v>
      </c>
      <c r="M9" t="s">
        <v>945</v>
      </c>
      <c r="N9" t="s">
        <v>974</v>
      </c>
    </row>
    <row r="10" spans="1:14">
      <c r="A10">
        <v>45</v>
      </c>
      <c r="B10">
        <v>45813.474351851903</v>
      </c>
      <c r="C10">
        <v>45813.475833333301</v>
      </c>
      <c r="D10" t="s">
        <v>938</v>
      </c>
      <c r="G10" t="s">
        <v>962</v>
      </c>
      <c r="H10" t="s">
        <v>975</v>
      </c>
      <c r="I10" t="s">
        <v>976</v>
      </c>
      <c r="J10" t="s">
        <v>957</v>
      </c>
      <c r="M10" t="s">
        <v>945</v>
      </c>
      <c r="N10" t="s">
        <v>977</v>
      </c>
    </row>
    <row r="11" spans="1:14">
      <c r="A11">
        <v>46</v>
      </c>
      <c r="B11">
        <v>45813.475925925901</v>
      </c>
      <c r="C11">
        <v>45813.478425925903</v>
      </c>
      <c r="D11" t="s">
        <v>938</v>
      </c>
      <c r="G11" t="s">
        <v>962</v>
      </c>
      <c r="H11" t="s">
        <v>975</v>
      </c>
      <c r="I11" t="s">
        <v>978</v>
      </c>
      <c r="J11" t="s">
        <v>969</v>
      </c>
      <c r="M11" t="s">
        <v>945</v>
      </c>
      <c r="N11" t="s">
        <v>979</v>
      </c>
    </row>
    <row r="12" spans="1:14">
      <c r="A12">
        <v>47</v>
      </c>
      <c r="B12">
        <v>45813.478518518503</v>
      </c>
      <c r="C12">
        <v>45813.481354166703</v>
      </c>
      <c r="D12" t="s">
        <v>938</v>
      </c>
      <c r="G12" t="s">
        <v>962</v>
      </c>
      <c r="H12" t="s">
        <v>963</v>
      </c>
      <c r="I12" t="s">
        <v>980</v>
      </c>
      <c r="J12" t="s">
        <v>950</v>
      </c>
      <c r="M12" t="s">
        <v>945</v>
      </c>
      <c r="N12" t="s">
        <v>981</v>
      </c>
    </row>
    <row r="13" spans="1:14">
      <c r="A13">
        <v>48</v>
      </c>
      <c r="B13">
        <v>45813.484884259298</v>
      </c>
      <c r="C13">
        <v>45813.487627314797</v>
      </c>
      <c r="D13" t="s">
        <v>938</v>
      </c>
      <c r="G13" t="s">
        <v>962</v>
      </c>
      <c r="H13" t="s">
        <v>963</v>
      </c>
      <c r="I13" t="s">
        <v>982</v>
      </c>
      <c r="J13" t="s">
        <v>983</v>
      </c>
      <c r="K13" t="s">
        <v>984</v>
      </c>
      <c r="M13" t="s">
        <v>945</v>
      </c>
      <c r="N13" t="s">
        <v>985</v>
      </c>
    </row>
    <row r="14" spans="1:14">
      <c r="A14">
        <v>49</v>
      </c>
      <c r="B14">
        <v>45811.493148148104</v>
      </c>
      <c r="C14">
        <v>45814.0008564815</v>
      </c>
      <c r="D14" t="s">
        <v>938</v>
      </c>
      <c r="G14" t="s">
        <v>947</v>
      </c>
      <c r="H14" t="s">
        <v>948</v>
      </c>
      <c r="I14" t="s">
        <v>986</v>
      </c>
      <c r="J14" t="s">
        <v>950</v>
      </c>
      <c r="K14" t="s">
        <v>987</v>
      </c>
      <c r="L14" t="s">
        <v>988</v>
      </c>
      <c r="M14" t="s">
        <v>945</v>
      </c>
      <c r="N14" t="s">
        <v>989</v>
      </c>
    </row>
    <row r="15" spans="1:14">
      <c r="A15">
        <v>50</v>
      </c>
      <c r="B15">
        <v>45814.145821759303</v>
      </c>
      <c r="C15">
        <v>45814.149594907401</v>
      </c>
      <c r="D15" t="s">
        <v>938</v>
      </c>
      <c r="G15" t="s">
        <v>990</v>
      </c>
      <c r="H15" t="s">
        <v>991</v>
      </c>
      <c r="I15" t="s">
        <v>992</v>
      </c>
      <c r="J15" t="s">
        <v>969</v>
      </c>
      <c r="K15" t="s">
        <v>993</v>
      </c>
      <c r="M15" t="s">
        <v>945</v>
      </c>
      <c r="N15" t="s">
        <v>994</v>
      </c>
    </row>
    <row r="16" spans="1:14">
      <c r="A16">
        <v>51</v>
      </c>
      <c r="B16">
        <v>45814.1496990741</v>
      </c>
      <c r="C16">
        <v>45814.1549884259</v>
      </c>
      <c r="D16" t="s">
        <v>938</v>
      </c>
      <c r="G16" t="s">
        <v>990</v>
      </c>
      <c r="H16" t="s">
        <v>990</v>
      </c>
      <c r="I16" t="s">
        <v>995</v>
      </c>
      <c r="J16" t="s">
        <v>960</v>
      </c>
      <c r="K16" t="s">
        <v>996</v>
      </c>
      <c r="M16" t="s">
        <v>945</v>
      </c>
      <c r="N16" t="s">
        <v>997</v>
      </c>
    </row>
    <row r="17" spans="1:14">
      <c r="A17">
        <v>52</v>
      </c>
      <c r="B17">
        <v>45815.940636574102</v>
      </c>
      <c r="C17">
        <v>45815.944803240702</v>
      </c>
      <c r="D17" t="s">
        <v>938</v>
      </c>
      <c r="G17" t="s">
        <v>998</v>
      </c>
      <c r="H17" t="s">
        <v>999</v>
      </c>
      <c r="I17" t="s">
        <v>1000</v>
      </c>
      <c r="J17" t="s">
        <v>1001</v>
      </c>
      <c r="K17" t="s">
        <v>1002</v>
      </c>
      <c r="L17" t="s">
        <v>1003</v>
      </c>
      <c r="M17" t="s">
        <v>945</v>
      </c>
      <c r="N17" t="s">
        <v>1004</v>
      </c>
    </row>
    <row r="18" spans="1:14">
      <c r="A18">
        <v>53</v>
      </c>
      <c r="B18">
        <v>45815.946469907401</v>
      </c>
      <c r="C18">
        <v>45815.948877314797</v>
      </c>
      <c r="D18" t="s">
        <v>938</v>
      </c>
      <c r="G18" t="s">
        <v>998</v>
      </c>
      <c r="H18" t="s">
        <v>999</v>
      </c>
      <c r="I18" t="s">
        <v>1005</v>
      </c>
      <c r="J18" t="s">
        <v>957</v>
      </c>
      <c r="K18" t="s">
        <v>1006</v>
      </c>
      <c r="L18" t="s">
        <v>1007</v>
      </c>
      <c r="M18" t="s">
        <v>945</v>
      </c>
      <c r="N18" t="s">
        <v>1008</v>
      </c>
    </row>
    <row r="19" spans="1:14">
      <c r="A19">
        <v>54</v>
      </c>
      <c r="B19">
        <v>45818.018715277802</v>
      </c>
      <c r="C19">
        <v>45818.020810185197</v>
      </c>
      <c r="D19" t="s">
        <v>938</v>
      </c>
      <c r="G19" t="s">
        <v>1009</v>
      </c>
      <c r="H19" t="s">
        <v>1010</v>
      </c>
      <c r="I19" t="s">
        <v>1011</v>
      </c>
      <c r="J19" t="s">
        <v>960</v>
      </c>
      <c r="K19" t="s">
        <v>1012</v>
      </c>
      <c r="M19" t="s">
        <v>945</v>
      </c>
      <c r="N19" t="s">
        <v>1013</v>
      </c>
    </row>
    <row r="20" spans="1:14">
      <c r="A20">
        <v>55</v>
      </c>
      <c r="B20">
        <v>45818.532951388901</v>
      </c>
      <c r="C20">
        <v>45818.534004629597</v>
      </c>
      <c r="D20" t="s">
        <v>938</v>
      </c>
      <c r="G20" t="s">
        <v>1014</v>
      </c>
      <c r="H20" t="s">
        <v>1015</v>
      </c>
      <c r="I20" t="s">
        <v>1016</v>
      </c>
      <c r="J20" t="s">
        <v>1017</v>
      </c>
      <c r="K20" t="s">
        <v>1018</v>
      </c>
      <c r="M20" t="s">
        <v>945</v>
      </c>
      <c r="N20" t="s">
        <v>1019</v>
      </c>
    </row>
    <row r="21" spans="1:14">
      <c r="A21">
        <v>56</v>
      </c>
      <c r="B21">
        <v>45818.830451388902</v>
      </c>
      <c r="C21">
        <v>45818.832280092603</v>
      </c>
      <c r="D21" t="s">
        <v>938</v>
      </c>
      <c r="G21" t="s">
        <v>1020</v>
      </c>
      <c r="H21" t="s">
        <v>1021</v>
      </c>
      <c r="I21" t="s">
        <v>1022</v>
      </c>
      <c r="J21" t="s">
        <v>960</v>
      </c>
      <c r="M21" t="s">
        <v>945</v>
      </c>
      <c r="N21" t="s">
        <v>1023</v>
      </c>
    </row>
    <row r="22" spans="1:14">
      <c r="A22">
        <v>57</v>
      </c>
      <c r="B22">
        <v>45825.5085763889</v>
      </c>
      <c r="C22">
        <v>45825.510381944398</v>
      </c>
      <c r="D22" t="s">
        <v>938</v>
      </c>
      <c r="G22" t="s">
        <v>1024</v>
      </c>
      <c r="H22" t="s">
        <v>963</v>
      </c>
      <c r="I22" t="s">
        <v>1025</v>
      </c>
      <c r="J22" t="s">
        <v>950</v>
      </c>
      <c r="M22" t="s">
        <v>945</v>
      </c>
      <c r="N22" t="s">
        <v>1026</v>
      </c>
    </row>
    <row r="23" spans="1:14">
      <c r="A23">
        <v>58</v>
      </c>
      <c r="B23">
        <v>45825.586550925902</v>
      </c>
      <c r="C23">
        <v>45825.590995370403</v>
      </c>
      <c r="D23" t="s">
        <v>938</v>
      </c>
      <c r="G23" t="s">
        <v>1027</v>
      </c>
      <c r="H23" t="s">
        <v>963</v>
      </c>
      <c r="I23" t="s">
        <v>1028</v>
      </c>
      <c r="J23" t="s">
        <v>983</v>
      </c>
      <c r="M23" t="s">
        <v>945</v>
      </c>
      <c r="N23" t="s">
        <v>1029</v>
      </c>
    </row>
    <row r="24" spans="1:14">
      <c r="A24">
        <v>59</v>
      </c>
      <c r="B24">
        <v>45826.5086689815</v>
      </c>
      <c r="C24">
        <v>45826.510752314804</v>
      </c>
      <c r="D24" t="s">
        <v>938</v>
      </c>
      <c r="G24" t="s">
        <v>1027</v>
      </c>
      <c r="H24" t="s">
        <v>963</v>
      </c>
      <c r="I24" t="s">
        <v>1030</v>
      </c>
      <c r="J24" t="s">
        <v>983</v>
      </c>
      <c r="M24" t="s">
        <v>945</v>
      </c>
      <c r="N24" t="s">
        <v>1031</v>
      </c>
    </row>
    <row r="25" spans="1:14">
      <c r="A25">
        <v>60</v>
      </c>
      <c r="B25">
        <v>45831.945775462998</v>
      </c>
      <c r="C25">
        <v>45831.947314814803</v>
      </c>
      <c r="D25" t="s">
        <v>938</v>
      </c>
      <c r="G25" t="s">
        <v>1020</v>
      </c>
      <c r="H25" t="s">
        <v>1021</v>
      </c>
      <c r="I25" t="s">
        <v>1032</v>
      </c>
      <c r="J25" t="s">
        <v>1033</v>
      </c>
      <c r="M25" t="s">
        <v>945</v>
      </c>
      <c r="N25" t="s">
        <v>1034</v>
      </c>
    </row>
    <row r="26" spans="1:14">
      <c r="A26">
        <v>61</v>
      </c>
      <c r="B26">
        <v>45832.508750000001</v>
      </c>
      <c r="C26">
        <v>45832.509780092601</v>
      </c>
      <c r="D26" t="s">
        <v>938</v>
      </c>
      <c r="G26" t="s">
        <v>954</v>
      </c>
      <c r="H26" t="s">
        <v>955</v>
      </c>
      <c r="I26" t="s">
        <v>1035</v>
      </c>
      <c r="J26" t="s">
        <v>950</v>
      </c>
      <c r="M26" t="s">
        <v>945</v>
      </c>
      <c r="N26" t="s">
        <v>1036</v>
      </c>
    </row>
    <row r="27" spans="1:14">
      <c r="A27">
        <v>62</v>
      </c>
      <c r="B27">
        <v>45837.582662036999</v>
      </c>
      <c r="C27">
        <v>45837.583587963003</v>
      </c>
      <c r="D27" t="s">
        <v>938</v>
      </c>
      <c r="G27" t="s">
        <v>1037</v>
      </c>
      <c r="H27" t="s">
        <v>1015</v>
      </c>
      <c r="I27" t="s">
        <v>1038</v>
      </c>
      <c r="J27" t="s">
        <v>983</v>
      </c>
      <c r="K27" t="s">
        <v>1039</v>
      </c>
      <c r="L27" t="s">
        <v>1040</v>
      </c>
      <c r="M27" t="s">
        <v>945</v>
      </c>
      <c r="N27" t="s">
        <v>1041</v>
      </c>
    </row>
    <row r="28" spans="1:14">
      <c r="A28">
        <v>63</v>
      </c>
      <c r="B28">
        <v>45837.583634259303</v>
      </c>
      <c r="C28">
        <v>45837.587083333303</v>
      </c>
      <c r="D28" t="s">
        <v>938</v>
      </c>
      <c r="G28" t="s">
        <v>1037</v>
      </c>
      <c r="H28" t="s">
        <v>1015</v>
      </c>
      <c r="I28" t="s">
        <v>1042</v>
      </c>
      <c r="J28" t="s">
        <v>1017</v>
      </c>
      <c r="M28" t="s">
        <v>945</v>
      </c>
      <c r="N28" t="s">
        <v>1043</v>
      </c>
    </row>
    <row r="29" spans="1:14">
      <c r="A29">
        <v>64</v>
      </c>
      <c r="B29">
        <v>45837.587118055599</v>
      </c>
      <c r="C29">
        <v>45837.587476851797</v>
      </c>
      <c r="D29" t="s">
        <v>938</v>
      </c>
      <c r="G29" t="s">
        <v>1037</v>
      </c>
      <c r="H29" t="s">
        <v>1015</v>
      </c>
      <c r="I29" t="s">
        <v>1044</v>
      </c>
      <c r="J29" t="s">
        <v>1017</v>
      </c>
      <c r="M29" t="s">
        <v>945</v>
      </c>
      <c r="N29" t="s">
        <v>1045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5"/>
  <sheetViews>
    <sheetView workbookViewId="0"/>
  </sheetViews>
  <sheetFormatPr defaultColWidth="8.85546875" defaultRowHeight="14.45"/>
  <sheetData>
    <row r="1" spans="1:14">
      <c r="A1" t="s">
        <v>0</v>
      </c>
      <c r="B1" t="s">
        <v>926</v>
      </c>
      <c r="C1" t="s">
        <v>927</v>
      </c>
      <c r="D1" t="s">
        <v>928</v>
      </c>
      <c r="E1" t="s">
        <v>1</v>
      </c>
      <c r="F1" t="s">
        <v>929</v>
      </c>
      <c r="G1" t="s">
        <v>930</v>
      </c>
      <c r="H1" t="s">
        <v>931</v>
      </c>
      <c r="I1" t="s">
        <v>932</v>
      </c>
      <c r="J1" t="s">
        <v>933</v>
      </c>
      <c r="K1" t="s">
        <v>934</v>
      </c>
      <c r="L1" t="s">
        <v>935</v>
      </c>
      <c r="M1" t="s">
        <v>936</v>
      </c>
      <c r="N1" t="s">
        <v>937</v>
      </c>
    </row>
    <row r="2" spans="1:14">
      <c r="A2">
        <v>7</v>
      </c>
      <c r="B2" s="9">
        <v>45783.960023148102</v>
      </c>
      <c r="C2" s="9">
        <v>45783.964108796303</v>
      </c>
      <c r="D2" t="s">
        <v>938</v>
      </c>
      <c r="F2" s="9"/>
      <c r="G2" t="s">
        <v>1009</v>
      </c>
      <c r="H2" t="s">
        <v>1010</v>
      </c>
      <c r="I2" t="s">
        <v>1046</v>
      </c>
      <c r="J2" t="s">
        <v>983</v>
      </c>
      <c r="K2" t="s">
        <v>1047</v>
      </c>
      <c r="L2" t="s">
        <v>1048</v>
      </c>
      <c r="M2" t="s">
        <v>1049</v>
      </c>
    </row>
    <row r="3" spans="1:14">
      <c r="A3">
        <v>8</v>
      </c>
      <c r="B3" s="9">
        <v>45783.980231481502</v>
      </c>
      <c r="C3" s="9">
        <v>45783.981076388904</v>
      </c>
      <c r="D3" t="s">
        <v>938</v>
      </c>
      <c r="F3" s="9"/>
      <c r="G3" t="s">
        <v>1009</v>
      </c>
      <c r="H3" t="s">
        <v>1010</v>
      </c>
      <c r="I3" t="s">
        <v>1050</v>
      </c>
      <c r="J3" t="s">
        <v>960</v>
      </c>
      <c r="K3" t="s">
        <v>1051</v>
      </c>
      <c r="L3" t="s">
        <v>1052</v>
      </c>
      <c r="M3" t="s">
        <v>1049</v>
      </c>
    </row>
    <row r="4" spans="1:14">
      <c r="A4">
        <v>10</v>
      </c>
      <c r="B4" s="9">
        <v>45789.537025463003</v>
      </c>
      <c r="C4" s="9">
        <v>45789.537557870397</v>
      </c>
      <c r="D4" t="s">
        <v>938</v>
      </c>
      <c r="F4" s="9"/>
      <c r="G4" t="s">
        <v>939</v>
      </c>
      <c r="H4" t="s">
        <v>940</v>
      </c>
      <c r="I4" t="s">
        <v>1053</v>
      </c>
      <c r="J4" t="s">
        <v>942</v>
      </c>
      <c r="K4" t="s">
        <v>1054</v>
      </c>
      <c r="L4" t="s">
        <v>1055</v>
      </c>
      <c r="M4" t="s">
        <v>1049</v>
      </c>
    </row>
    <row r="5" spans="1:14">
      <c r="A5">
        <v>11</v>
      </c>
      <c r="B5" s="9">
        <v>45789.537696759297</v>
      </c>
      <c r="C5" s="9">
        <v>45789.538958333302</v>
      </c>
      <c r="D5" t="s">
        <v>938</v>
      </c>
      <c r="F5" s="9"/>
      <c r="G5" t="s">
        <v>939</v>
      </c>
      <c r="H5" t="s">
        <v>940</v>
      </c>
      <c r="I5" t="s">
        <v>1056</v>
      </c>
      <c r="J5" t="s">
        <v>942</v>
      </c>
      <c r="K5" t="s">
        <v>1057</v>
      </c>
      <c r="L5" t="s">
        <v>1058</v>
      </c>
      <c r="M5" t="s">
        <v>1049</v>
      </c>
    </row>
    <row r="6" spans="1:14">
      <c r="A6">
        <v>12</v>
      </c>
      <c r="B6" s="9">
        <v>45789.982719907399</v>
      </c>
      <c r="C6" s="9">
        <v>45789.987291666701</v>
      </c>
      <c r="D6" t="s">
        <v>938</v>
      </c>
      <c r="F6" s="9"/>
      <c r="G6" t="s">
        <v>998</v>
      </c>
      <c r="H6" t="s">
        <v>999</v>
      </c>
      <c r="I6" t="s">
        <v>1059</v>
      </c>
      <c r="J6" t="s">
        <v>957</v>
      </c>
      <c r="K6" t="s">
        <v>1060</v>
      </c>
      <c r="L6" t="s">
        <v>1061</v>
      </c>
      <c r="M6" t="s">
        <v>1049</v>
      </c>
    </row>
    <row r="7" spans="1:14">
      <c r="A7">
        <v>13</v>
      </c>
      <c r="B7" s="9">
        <v>45789.987326388902</v>
      </c>
      <c r="C7" s="9">
        <v>45789.992442129602</v>
      </c>
      <c r="D7" t="s">
        <v>938</v>
      </c>
      <c r="F7" s="9"/>
      <c r="G7" t="s">
        <v>998</v>
      </c>
      <c r="H7" t="s">
        <v>999</v>
      </c>
      <c r="I7" t="s">
        <v>1062</v>
      </c>
      <c r="J7" t="s">
        <v>957</v>
      </c>
      <c r="K7" t="s">
        <v>1063</v>
      </c>
      <c r="L7" t="s">
        <v>1064</v>
      </c>
      <c r="M7" t="s">
        <v>1049</v>
      </c>
    </row>
    <row r="8" spans="1:14">
      <c r="A8">
        <v>14</v>
      </c>
      <c r="B8" s="9">
        <v>45789.992511574099</v>
      </c>
      <c r="C8" s="9">
        <v>45790.000034722201</v>
      </c>
      <c r="D8" t="s">
        <v>938</v>
      </c>
      <c r="F8" s="9"/>
      <c r="G8" t="s">
        <v>998</v>
      </c>
      <c r="H8" t="s">
        <v>999</v>
      </c>
      <c r="I8" t="s">
        <v>1065</v>
      </c>
      <c r="J8" t="s">
        <v>957</v>
      </c>
      <c r="K8" t="s">
        <v>1066</v>
      </c>
      <c r="L8" t="s">
        <v>1067</v>
      </c>
      <c r="M8" t="s">
        <v>1049</v>
      </c>
    </row>
    <row r="9" spans="1:14">
      <c r="A9">
        <v>15</v>
      </c>
      <c r="B9" s="9">
        <v>45790.000509259298</v>
      </c>
      <c r="C9" s="9">
        <v>45790.003761574102</v>
      </c>
      <c r="D9" t="s">
        <v>938</v>
      </c>
      <c r="F9" s="9"/>
      <c r="G9" t="s">
        <v>998</v>
      </c>
      <c r="H9" t="s">
        <v>999</v>
      </c>
      <c r="I9" t="s">
        <v>1068</v>
      </c>
      <c r="J9" t="s">
        <v>1001</v>
      </c>
      <c r="K9" t="s">
        <v>1069</v>
      </c>
      <c r="L9" t="s">
        <v>1070</v>
      </c>
      <c r="M9" t="s">
        <v>1049</v>
      </c>
    </row>
    <row r="10" spans="1:14">
      <c r="A10">
        <v>16</v>
      </c>
      <c r="B10" s="9">
        <v>45790.025289351797</v>
      </c>
      <c r="C10" s="9">
        <v>45790.027222222197</v>
      </c>
      <c r="D10" t="s">
        <v>938</v>
      </c>
      <c r="F10" s="9"/>
      <c r="G10" t="s">
        <v>998</v>
      </c>
      <c r="H10" t="s">
        <v>999</v>
      </c>
      <c r="I10" t="s">
        <v>1071</v>
      </c>
      <c r="J10" t="s">
        <v>957</v>
      </c>
      <c r="K10" t="s">
        <v>1072</v>
      </c>
      <c r="L10" t="s">
        <v>1073</v>
      </c>
      <c r="M10" t="s">
        <v>1049</v>
      </c>
    </row>
    <row r="11" spans="1:14">
      <c r="A11">
        <v>17</v>
      </c>
      <c r="B11" s="9">
        <v>45790.029398148101</v>
      </c>
      <c r="C11" s="9">
        <v>45790.045011574097</v>
      </c>
      <c r="D11" t="s">
        <v>938</v>
      </c>
      <c r="F11" s="9"/>
      <c r="G11" t="s">
        <v>998</v>
      </c>
      <c r="H11" t="s">
        <v>999</v>
      </c>
      <c r="I11" t="s">
        <v>1074</v>
      </c>
      <c r="J11" t="s">
        <v>957</v>
      </c>
      <c r="K11" t="s">
        <v>1075</v>
      </c>
      <c r="L11" t="s">
        <v>1076</v>
      </c>
      <c r="M11" t="s">
        <v>1049</v>
      </c>
    </row>
    <row r="12" spans="1:14">
      <c r="A12">
        <v>18</v>
      </c>
      <c r="B12" s="9">
        <v>45790.627534722204</v>
      </c>
      <c r="C12" s="9">
        <v>45790.629409722198</v>
      </c>
      <c r="D12" t="s">
        <v>938</v>
      </c>
      <c r="F12" s="9"/>
      <c r="G12" t="s">
        <v>1077</v>
      </c>
      <c r="H12" t="s">
        <v>991</v>
      </c>
      <c r="I12" t="s">
        <v>1078</v>
      </c>
      <c r="J12" t="s">
        <v>969</v>
      </c>
      <c r="K12" t="s">
        <v>1079</v>
      </c>
      <c r="L12" t="s">
        <v>1080</v>
      </c>
      <c r="M12" t="s">
        <v>1049</v>
      </c>
    </row>
    <row r="13" spans="1:14">
      <c r="A13">
        <v>19</v>
      </c>
      <c r="B13" s="9">
        <v>45794.488391203697</v>
      </c>
      <c r="C13" s="9">
        <v>45794.490752314799</v>
      </c>
      <c r="D13" t="s">
        <v>938</v>
      </c>
      <c r="F13" s="9"/>
      <c r="G13" t="s">
        <v>1081</v>
      </c>
      <c r="H13" t="s">
        <v>1082</v>
      </c>
      <c r="I13" t="s">
        <v>1083</v>
      </c>
      <c r="J13" t="s">
        <v>1001</v>
      </c>
      <c r="K13" t="s">
        <v>1084</v>
      </c>
      <c r="L13" t="s">
        <v>1085</v>
      </c>
      <c r="M13" t="s">
        <v>1049</v>
      </c>
    </row>
    <row r="14" spans="1:14">
      <c r="A14">
        <v>20</v>
      </c>
      <c r="B14" s="9">
        <v>45794.490787037001</v>
      </c>
      <c r="C14" s="9">
        <v>45794.491886574098</v>
      </c>
      <c r="D14" t="s">
        <v>938</v>
      </c>
      <c r="F14" s="9"/>
      <c r="G14" t="s">
        <v>1086</v>
      </c>
      <c r="H14" t="s">
        <v>1087</v>
      </c>
      <c r="I14" t="s">
        <v>1088</v>
      </c>
      <c r="J14" t="s">
        <v>957</v>
      </c>
      <c r="K14" t="s">
        <v>1089</v>
      </c>
      <c r="L14" t="s">
        <v>1090</v>
      </c>
      <c r="M14" t="s">
        <v>1049</v>
      </c>
    </row>
    <row r="15" spans="1:14">
      <c r="A15">
        <v>21</v>
      </c>
      <c r="B15" s="9">
        <v>45794.491909722201</v>
      </c>
      <c r="C15" s="9">
        <v>45794.492743055598</v>
      </c>
      <c r="D15" t="s">
        <v>938</v>
      </c>
      <c r="F15" s="9"/>
      <c r="G15" t="s">
        <v>1091</v>
      </c>
      <c r="H15" t="s">
        <v>1092</v>
      </c>
      <c r="I15" t="s">
        <v>1093</v>
      </c>
      <c r="J15" t="s">
        <v>1001</v>
      </c>
      <c r="K15" t="s">
        <v>1094</v>
      </c>
      <c r="L15" t="s">
        <v>1095</v>
      </c>
      <c r="M15" t="s">
        <v>1049</v>
      </c>
    </row>
    <row r="16" spans="1:14">
      <c r="A16">
        <v>22</v>
      </c>
      <c r="B16" s="9">
        <v>45794.492812500001</v>
      </c>
      <c r="C16" s="9">
        <v>45794.493194444403</v>
      </c>
      <c r="D16" t="s">
        <v>938</v>
      </c>
      <c r="F16" s="9"/>
      <c r="G16" t="s">
        <v>1091</v>
      </c>
      <c r="H16" t="s">
        <v>1092</v>
      </c>
      <c r="I16" t="s">
        <v>1096</v>
      </c>
      <c r="J16" t="s">
        <v>1001</v>
      </c>
      <c r="K16" t="s">
        <v>1097</v>
      </c>
      <c r="L16" t="s">
        <v>1098</v>
      </c>
      <c r="M16" t="s">
        <v>1049</v>
      </c>
    </row>
    <row r="17" spans="1:14">
      <c r="A17">
        <v>23</v>
      </c>
      <c r="B17" s="9">
        <v>45794.493252314802</v>
      </c>
      <c r="C17" s="9">
        <v>45794.493564814802</v>
      </c>
      <c r="D17" t="s">
        <v>938</v>
      </c>
      <c r="F17" s="9"/>
      <c r="G17" t="s">
        <v>1091</v>
      </c>
      <c r="H17" t="s">
        <v>1092</v>
      </c>
      <c r="I17" t="s">
        <v>1099</v>
      </c>
      <c r="J17" t="s">
        <v>1001</v>
      </c>
      <c r="K17" t="s">
        <v>1100</v>
      </c>
      <c r="L17" t="s">
        <v>1101</v>
      </c>
      <c r="M17" t="s">
        <v>1049</v>
      </c>
    </row>
    <row r="18" spans="1:14">
      <c r="A18">
        <v>24</v>
      </c>
      <c r="B18" s="9">
        <v>45794.493634259299</v>
      </c>
      <c r="C18" s="9">
        <v>45794.497152777803</v>
      </c>
      <c r="D18" t="s">
        <v>938</v>
      </c>
      <c r="F18" s="9"/>
      <c r="G18" t="s">
        <v>1102</v>
      </c>
      <c r="H18" t="s">
        <v>1103</v>
      </c>
      <c r="I18" t="s">
        <v>1104</v>
      </c>
      <c r="J18" t="s">
        <v>1001</v>
      </c>
      <c r="K18" t="s">
        <v>1105</v>
      </c>
      <c r="L18" t="s">
        <v>1106</v>
      </c>
      <c r="M18" t="s">
        <v>1049</v>
      </c>
    </row>
    <row r="19" spans="1:14">
      <c r="A19">
        <v>25</v>
      </c>
      <c r="B19" s="9">
        <v>45794.8351273148</v>
      </c>
      <c r="C19" s="9">
        <v>45794.852569444403</v>
      </c>
      <c r="D19" t="s">
        <v>938</v>
      </c>
      <c r="F19" s="9"/>
      <c r="G19" t="s">
        <v>947</v>
      </c>
      <c r="H19" t="s">
        <v>948</v>
      </c>
      <c r="I19" t="s">
        <v>1107</v>
      </c>
      <c r="J19" t="s">
        <v>950</v>
      </c>
      <c r="K19" t="s">
        <v>1108</v>
      </c>
      <c r="L19" t="s">
        <v>1109</v>
      </c>
      <c r="M19" t="s">
        <v>1049</v>
      </c>
    </row>
    <row r="20" spans="1:14">
      <c r="A20">
        <v>26</v>
      </c>
      <c r="B20" s="9">
        <v>45794.870023148098</v>
      </c>
      <c r="C20" s="9">
        <v>45794.870185185202</v>
      </c>
      <c r="D20" t="s">
        <v>938</v>
      </c>
      <c r="F20" s="9"/>
      <c r="G20" t="s">
        <v>947</v>
      </c>
      <c r="H20" t="s">
        <v>948</v>
      </c>
      <c r="I20" t="s">
        <v>1110</v>
      </c>
      <c r="J20" t="s">
        <v>950</v>
      </c>
      <c r="K20" t="s">
        <v>1111</v>
      </c>
      <c r="L20" t="s">
        <v>1112</v>
      </c>
      <c r="M20" t="s">
        <v>1049</v>
      </c>
    </row>
    <row r="21" spans="1:14">
      <c r="A21">
        <v>27</v>
      </c>
      <c r="B21" s="9">
        <v>45795.696307870399</v>
      </c>
      <c r="C21" s="9">
        <v>45796.481215277803</v>
      </c>
      <c r="D21" t="s">
        <v>938</v>
      </c>
      <c r="F21" s="9"/>
      <c r="G21" t="s">
        <v>1113</v>
      </c>
      <c r="H21" t="s">
        <v>1114</v>
      </c>
      <c r="I21" t="s">
        <v>1115</v>
      </c>
      <c r="J21" t="s">
        <v>950</v>
      </c>
      <c r="K21" t="s">
        <v>1116</v>
      </c>
      <c r="L21" t="s">
        <v>1117</v>
      </c>
      <c r="M21" t="s">
        <v>1049</v>
      </c>
    </row>
    <row r="22" spans="1:14">
      <c r="A22">
        <v>28</v>
      </c>
      <c r="B22" s="9">
        <v>45796.481296296297</v>
      </c>
      <c r="C22" s="9">
        <v>45796.483275462997</v>
      </c>
      <c r="D22" t="s">
        <v>938</v>
      </c>
      <c r="F22" s="9"/>
      <c r="G22" t="s">
        <v>1113</v>
      </c>
      <c r="H22" t="s">
        <v>1114</v>
      </c>
      <c r="I22" t="s">
        <v>1118</v>
      </c>
      <c r="J22" t="s">
        <v>1033</v>
      </c>
      <c r="K22" t="s">
        <v>1119</v>
      </c>
      <c r="L22" t="s">
        <v>1120</v>
      </c>
      <c r="M22" t="s">
        <v>1049</v>
      </c>
    </row>
    <row r="23" spans="1:14">
      <c r="A23">
        <v>29</v>
      </c>
      <c r="B23" s="9">
        <v>45796.483321759297</v>
      </c>
      <c r="C23" s="9">
        <v>45796.484652777799</v>
      </c>
      <c r="D23" t="s">
        <v>938</v>
      </c>
      <c r="F23" s="9"/>
      <c r="G23" t="s">
        <v>1113</v>
      </c>
      <c r="H23" t="s">
        <v>1114</v>
      </c>
      <c r="I23" t="s">
        <v>1121</v>
      </c>
      <c r="J23" t="s">
        <v>969</v>
      </c>
      <c r="K23" t="s">
        <v>1122</v>
      </c>
      <c r="L23" t="s">
        <v>1123</v>
      </c>
      <c r="M23" t="s">
        <v>1049</v>
      </c>
    </row>
    <row r="24" spans="1:14">
      <c r="A24">
        <v>30</v>
      </c>
      <c r="B24" s="9">
        <v>45799.636921296304</v>
      </c>
      <c r="C24" s="9">
        <v>45799.640162037002</v>
      </c>
      <c r="D24" t="s">
        <v>938</v>
      </c>
      <c r="F24" s="9"/>
      <c r="G24" t="s">
        <v>1124</v>
      </c>
      <c r="H24" t="s">
        <v>1125</v>
      </c>
      <c r="I24" t="s">
        <v>1126</v>
      </c>
      <c r="J24" t="s">
        <v>957</v>
      </c>
      <c r="K24" t="s">
        <v>1127</v>
      </c>
      <c r="L24" t="s">
        <v>1128</v>
      </c>
      <c r="M24" t="s">
        <v>1049</v>
      </c>
      <c r="N24" t="s">
        <v>1129</v>
      </c>
    </row>
    <row r="25" spans="1:14">
      <c r="A25">
        <v>31</v>
      </c>
      <c r="B25" s="9">
        <v>45799.640196759297</v>
      </c>
      <c r="C25" s="9">
        <v>45799.642210648097</v>
      </c>
      <c r="D25" t="s">
        <v>938</v>
      </c>
      <c r="F25" s="9"/>
      <c r="G25" t="s">
        <v>1124</v>
      </c>
      <c r="H25" t="s">
        <v>1125</v>
      </c>
      <c r="I25" t="s">
        <v>1130</v>
      </c>
      <c r="J25" t="s">
        <v>957</v>
      </c>
      <c r="K25" t="s">
        <v>1131</v>
      </c>
      <c r="L25" t="s">
        <v>1132</v>
      </c>
      <c r="M25" t="s">
        <v>1049</v>
      </c>
      <c r="N25" t="s">
        <v>1133</v>
      </c>
    </row>
    <row r="26" spans="1:14">
      <c r="A26">
        <v>32</v>
      </c>
      <c r="B26" s="9">
        <v>45803.5756944444</v>
      </c>
      <c r="C26" s="9">
        <v>45803.598240740699</v>
      </c>
      <c r="D26" t="s">
        <v>938</v>
      </c>
      <c r="F26" s="9"/>
      <c r="G26" t="s">
        <v>1134</v>
      </c>
      <c r="H26" t="s">
        <v>1135</v>
      </c>
      <c r="I26" t="s">
        <v>1136</v>
      </c>
      <c r="J26" t="s">
        <v>957</v>
      </c>
      <c r="K26" t="s">
        <v>1137</v>
      </c>
      <c r="L26" t="s">
        <v>1138</v>
      </c>
      <c r="M26" t="s">
        <v>1049</v>
      </c>
    </row>
    <row r="27" spans="1:14">
      <c r="A27">
        <v>33</v>
      </c>
      <c r="B27" s="9">
        <v>45803.598287036999</v>
      </c>
      <c r="C27" s="9">
        <v>45803.601041666698</v>
      </c>
      <c r="D27" t="s">
        <v>938</v>
      </c>
      <c r="F27" s="9"/>
      <c r="G27" t="s">
        <v>1134</v>
      </c>
      <c r="H27" t="s">
        <v>1139</v>
      </c>
      <c r="I27" t="s">
        <v>1140</v>
      </c>
      <c r="J27" t="s">
        <v>957</v>
      </c>
      <c r="K27" t="s">
        <v>1141</v>
      </c>
      <c r="L27" t="s">
        <v>1142</v>
      </c>
      <c r="M27" t="s">
        <v>1049</v>
      </c>
    </row>
    <row r="28" spans="1:14">
      <c r="A28">
        <v>34</v>
      </c>
      <c r="B28" s="9">
        <v>45803.601076388899</v>
      </c>
      <c r="C28" s="9">
        <v>45803.6073958333</v>
      </c>
      <c r="D28" t="s">
        <v>938</v>
      </c>
      <c r="F28" s="9"/>
      <c r="G28" t="s">
        <v>1134</v>
      </c>
      <c r="H28" t="s">
        <v>1139</v>
      </c>
      <c r="I28" t="s">
        <v>1143</v>
      </c>
      <c r="J28" t="s">
        <v>957</v>
      </c>
      <c r="K28" t="s">
        <v>1144</v>
      </c>
      <c r="L28" t="s">
        <v>1145</v>
      </c>
      <c r="M28" t="s">
        <v>1049</v>
      </c>
    </row>
    <row r="29" spans="1:14">
      <c r="A29">
        <v>35</v>
      </c>
      <c r="B29" s="9">
        <v>45803.607615740701</v>
      </c>
      <c r="C29" s="9">
        <v>45803.609664351803</v>
      </c>
      <c r="D29" t="s">
        <v>938</v>
      </c>
      <c r="F29" s="9"/>
      <c r="G29" t="s">
        <v>1134</v>
      </c>
      <c r="H29" t="s">
        <v>1139</v>
      </c>
      <c r="I29" t="s">
        <v>1146</v>
      </c>
      <c r="J29" t="s">
        <v>957</v>
      </c>
      <c r="K29" t="s">
        <v>1147</v>
      </c>
      <c r="L29" t="s">
        <v>1148</v>
      </c>
      <c r="M29" t="s">
        <v>1049</v>
      </c>
    </row>
    <row r="30" spans="1:14">
      <c r="A30">
        <v>36</v>
      </c>
      <c r="B30" s="9">
        <v>45803.609699074099</v>
      </c>
      <c r="C30" s="9">
        <v>45803.611793981501</v>
      </c>
      <c r="D30" t="s">
        <v>938</v>
      </c>
      <c r="F30" s="9"/>
      <c r="G30" t="s">
        <v>1134</v>
      </c>
      <c r="H30" t="s">
        <v>1139</v>
      </c>
      <c r="I30" t="s">
        <v>1149</v>
      </c>
      <c r="J30" t="s">
        <v>957</v>
      </c>
      <c r="K30" t="s">
        <v>1150</v>
      </c>
      <c r="L30" t="s">
        <v>1151</v>
      </c>
      <c r="M30" t="s">
        <v>1049</v>
      </c>
    </row>
    <row r="31" spans="1:14">
      <c r="A31">
        <v>38</v>
      </c>
      <c r="B31" s="9">
        <v>45812.426284722198</v>
      </c>
      <c r="C31" s="9">
        <v>45812.457430555602</v>
      </c>
      <c r="D31" t="s">
        <v>938</v>
      </c>
      <c r="F31" s="9"/>
      <c r="G31" t="s">
        <v>998</v>
      </c>
      <c r="H31" t="s">
        <v>1152</v>
      </c>
      <c r="I31" t="s">
        <v>1153</v>
      </c>
      <c r="J31" t="s">
        <v>960</v>
      </c>
      <c r="K31" t="s">
        <v>1154</v>
      </c>
      <c r="L31" t="s">
        <v>1155</v>
      </c>
      <c r="M31" t="s">
        <v>1049</v>
      </c>
    </row>
    <row r="32" spans="1:14">
      <c r="A32">
        <v>65</v>
      </c>
      <c r="B32" s="9">
        <v>45839.659178240698</v>
      </c>
      <c r="C32" s="9">
        <v>45839.6628009259</v>
      </c>
      <c r="D32" t="s">
        <v>938</v>
      </c>
      <c r="F32" s="9"/>
      <c r="G32" t="s">
        <v>1156</v>
      </c>
      <c r="H32" t="s">
        <v>1157</v>
      </c>
      <c r="I32" t="s">
        <v>1158</v>
      </c>
      <c r="J32" t="s">
        <v>969</v>
      </c>
      <c r="L32" t="s">
        <v>1159</v>
      </c>
      <c r="M32" t="s">
        <v>1049</v>
      </c>
    </row>
    <row r="33" spans="1:13">
      <c r="A33">
        <v>66</v>
      </c>
      <c r="B33" s="9">
        <v>45839.662928240701</v>
      </c>
      <c r="C33" s="9">
        <v>45839.6636574074</v>
      </c>
      <c r="D33" t="s">
        <v>938</v>
      </c>
      <c r="F33" s="9"/>
      <c r="G33" t="s">
        <v>1156</v>
      </c>
      <c r="H33" t="s">
        <v>1157</v>
      </c>
      <c r="I33" t="s">
        <v>1160</v>
      </c>
      <c r="J33" t="s">
        <v>969</v>
      </c>
      <c r="L33" t="s">
        <v>1161</v>
      </c>
      <c r="M33" t="s">
        <v>1049</v>
      </c>
    </row>
    <row r="34" spans="1:13">
      <c r="A34">
        <v>67</v>
      </c>
      <c r="B34" s="9">
        <v>45839.665439814802</v>
      </c>
      <c r="C34" s="9">
        <v>45839.666006944397</v>
      </c>
      <c r="D34" t="s">
        <v>938</v>
      </c>
      <c r="F34" s="9"/>
      <c r="G34" t="s">
        <v>1156</v>
      </c>
      <c r="H34" t="s">
        <v>1157</v>
      </c>
      <c r="I34" t="s">
        <v>1162</v>
      </c>
      <c r="J34" t="s">
        <v>983</v>
      </c>
      <c r="L34" t="s">
        <v>1163</v>
      </c>
      <c r="M34" t="s">
        <v>1049</v>
      </c>
    </row>
    <row r="35" spans="1:13">
      <c r="A35">
        <v>68</v>
      </c>
      <c r="B35" s="9">
        <v>45839.666967592602</v>
      </c>
      <c r="C35" s="9">
        <v>45839.667430555601</v>
      </c>
      <c r="D35" t="s">
        <v>938</v>
      </c>
      <c r="F35" s="9"/>
      <c r="G35" t="s">
        <v>1156</v>
      </c>
      <c r="H35" t="s">
        <v>1157</v>
      </c>
      <c r="I35" t="s">
        <v>1164</v>
      </c>
      <c r="J35" t="s">
        <v>983</v>
      </c>
      <c r="L35" t="s">
        <v>1165</v>
      </c>
      <c r="M35" t="s">
        <v>1049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48"/>
  <sheetViews>
    <sheetView topLeftCell="A58" workbookViewId="0">
      <selection activeCell="D62" sqref="D1:D1048576"/>
    </sheetView>
  </sheetViews>
  <sheetFormatPr defaultColWidth="8.85546875" defaultRowHeight="14.45"/>
  <cols>
    <col min="2" max="2" width="17.7109375" customWidth="1"/>
    <col min="3" max="3" width="21.28515625" customWidth="1"/>
    <col min="4" max="4" width="32.28515625" customWidth="1"/>
    <col min="5" max="5" width="42.85546875" customWidth="1"/>
    <col min="6" max="6" width="18.42578125" customWidth="1"/>
    <col min="7" max="7" width="23.28515625" customWidth="1"/>
    <col min="8" max="8" width="20.42578125" customWidth="1"/>
    <col min="9" max="9" width="34.28515625" customWidth="1"/>
    <col min="10" max="10" width="29.7109375" customWidth="1"/>
  </cols>
  <sheetData>
    <row r="1" spans="1:10" ht="28.9">
      <c r="A1" t="s">
        <v>1166</v>
      </c>
      <c r="B1" t="s">
        <v>1167</v>
      </c>
      <c r="C1" t="s">
        <v>1168</v>
      </c>
      <c r="D1" t="s">
        <v>1169</v>
      </c>
      <c r="E1" t="s">
        <v>1170</v>
      </c>
      <c r="F1" t="s">
        <v>1171</v>
      </c>
      <c r="G1" s="10" t="s">
        <v>1172</v>
      </c>
      <c r="H1" t="s">
        <v>1173</v>
      </c>
      <c r="I1" s="10" t="s">
        <v>1174</v>
      </c>
      <c r="J1" s="5" t="s">
        <v>1175</v>
      </c>
    </row>
    <row r="2" spans="1:10">
      <c r="A2">
        <v>1</v>
      </c>
      <c r="B2">
        <v>221001554</v>
      </c>
      <c r="C2" t="s">
        <v>1176</v>
      </c>
      <c r="D2" t="s">
        <v>1177</v>
      </c>
      <c r="E2" t="s">
        <v>1178</v>
      </c>
      <c r="F2">
        <v>3.47</v>
      </c>
      <c r="G2">
        <v>110</v>
      </c>
      <c r="H2">
        <v>3.39</v>
      </c>
      <c r="I2">
        <v>110</v>
      </c>
      <c r="J2" t="e">
        <f>VLOOKUP(B2,'ALL Projects'!$A$2:$C470,2,0)</f>
        <v>#N/A</v>
      </c>
    </row>
    <row r="3" spans="1:10">
      <c r="A3">
        <v>2</v>
      </c>
      <c r="B3">
        <v>221000043</v>
      </c>
      <c r="C3" t="s">
        <v>1176</v>
      </c>
      <c r="D3" t="s">
        <v>1179</v>
      </c>
      <c r="E3" t="s">
        <v>1180</v>
      </c>
      <c r="F3">
        <v>2.44</v>
      </c>
      <c r="G3">
        <v>109</v>
      </c>
      <c r="H3">
        <v>2.37</v>
      </c>
      <c r="I3">
        <v>104</v>
      </c>
      <c r="J3" t="e">
        <f>VLOOKUP(B3,'ALL Projects'!$A$2:$C471,2,0)</f>
        <v>#N/A</v>
      </c>
    </row>
    <row r="4" spans="1:10">
      <c r="A4">
        <v>3</v>
      </c>
      <c r="B4">
        <v>221000432</v>
      </c>
      <c r="C4" t="s">
        <v>1176</v>
      </c>
      <c r="D4" t="s">
        <v>1181</v>
      </c>
      <c r="E4" t="s">
        <v>1182</v>
      </c>
      <c r="F4">
        <v>3.86</v>
      </c>
      <c r="G4">
        <v>108</v>
      </c>
      <c r="H4">
        <v>3.83</v>
      </c>
      <c r="I4">
        <v>108</v>
      </c>
      <c r="J4" t="e">
        <f>VLOOKUP(B4,'ALL Projects'!$A$2:$C472,2,0)</f>
        <v>#N/A</v>
      </c>
    </row>
    <row r="5" spans="1:10">
      <c r="A5">
        <v>4</v>
      </c>
      <c r="B5">
        <v>202000963</v>
      </c>
      <c r="C5" t="s">
        <v>1176</v>
      </c>
      <c r="D5" t="s">
        <v>1183</v>
      </c>
      <c r="E5" t="s">
        <v>1184</v>
      </c>
      <c r="F5">
        <v>1.81</v>
      </c>
      <c r="G5">
        <v>105</v>
      </c>
      <c r="H5">
        <v>1.76</v>
      </c>
      <c r="I5">
        <v>93</v>
      </c>
      <c r="J5" t="e">
        <f>VLOOKUP(B5,'ALL Projects'!$A$2:$C473,2,0)</f>
        <v>#N/A</v>
      </c>
    </row>
    <row r="6" spans="1:10">
      <c r="A6">
        <v>5</v>
      </c>
      <c r="B6">
        <v>221000424</v>
      </c>
      <c r="C6" t="s">
        <v>1176</v>
      </c>
      <c r="D6" t="s">
        <v>1185</v>
      </c>
      <c r="E6" t="s">
        <v>1186</v>
      </c>
      <c r="F6">
        <v>3.86</v>
      </c>
      <c r="G6">
        <v>105</v>
      </c>
      <c r="H6">
        <v>3.87</v>
      </c>
      <c r="I6">
        <v>105</v>
      </c>
      <c r="J6" t="e">
        <f>VLOOKUP(B6,'ALL Projects'!$A$2:$C478,2,0)</f>
        <v>#N/A</v>
      </c>
    </row>
    <row r="7" spans="1:10">
      <c r="A7">
        <v>6</v>
      </c>
      <c r="B7">
        <v>221000410</v>
      </c>
      <c r="C7" t="s">
        <v>1176</v>
      </c>
      <c r="D7" t="s">
        <v>1187</v>
      </c>
      <c r="E7" t="s">
        <v>1188</v>
      </c>
      <c r="F7">
        <v>3.87</v>
      </c>
      <c r="G7">
        <v>104</v>
      </c>
      <c r="H7">
        <v>3.86</v>
      </c>
      <c r="I7">
        <v>104</v>
      </c>
      <c r="J7" t="e">
        <f>VLOOKUP(B7,'ALL Projects'!$A$2:$C570,2,0)</f>
        <v>#N/A</v>
      </c>
    </row>
    <row r="8" spans="1:10">
      <c r="A8">
        <v>7</v>
      </c>
      <c r="B8">
        <v>221000828</v>
      </c>
      <c r="C8" t="s">
        <v>1176</v>
      </c>
      <c r="D8" t="s">
        <v>1189</v>
      </c>
      <c r="E8" t="s">
        <v>1190</v>
      </c>
      <c r="F8">
        <v>3.62</v>
      </c>
      <c r="G8">
        <v>104</v>
      </c>
      <c r="H8">
        <v>3.67</v>
      </c>
      <c r="I8">
        <v>104</v>
      </c>
      <c r="J8" t="e">
        <f>VLOOKUP(B8,'ALL Projects'!$A$2:$C570,2,0)</f>
        <v>#N/A</v>
      </c>
    </row>
    <row r="9" spans="1:10">
      <c r="A9">
        <v>8</v>
      </c>
      <c r="B9">
        <v>221001792</v>
      </c>
      <c r="C9" t="s">
        <v>1176</v>
      </c>
      <c r="D9" t="s">
        <v>1191</v>
      </c>
      <c r="E9" t="s">
        <v>1192</v>
      </c>
      <c r="F9">
        <v>3.93</v>
      </c>
      <c r="G9">
        <v>104</v>
      </c>
      <c r="H9">
        <v>3.94</v>
      </c>
      <c r="I9">
        <v>104</v>
      </c>
      <c r="J9" t="e">
        <f>VLOOKUP(B9,'ALL Projects'!$A$2:$C480,2,0)</f>
        <v>#N/A</v>
      </c>
    </row>
    <row r="10" spans="1:10">
      <c r="A10">
        <v>9</v>
      </c>
      <c r="B10">
        <v>221002051</v>
      </c>
      <c r="C10" t="s">
        <v>1176</v>
      </c>
      <c r="D10" t="s">
        <v>1193</v>
      </c>
      <c r="E10" t="s">
        <v>1194</v>
      </c>
      <c r="F10">
        <v>3.72</v>
      </c>
      <c r="G10">
        <v>104</v>
      </c>
      <c r="H10">
        <v>3.72</v>
      </c>
      <c r="I10">
        <v>104</v>
      </c>
      <c r="J10" t="e">
        <f>VLOOKUP(B10,'ALL Projects'!$A$2:$C476,2,0)</f>
        <v>#N/A</v>
      </c>
    </row>
    <row r="11" spans="1:10">
      <c r="A11">
        <v>10</v>
      </c>
      <c r="B11">
        <v>211001298</v>
      </c>
      <c r="C11" t="s">
        <v>1176</v>
      </c>
      <c r="D11" t="s">
        <v>1195</v>
      </c>
      <c r="E11" t="s">
        <v>1196</v>
      </c>
      <c r="F11">
        <v>2.36</v>
      </c>
      <c r="G11">
        <v>103</v>
      </c>
      <c r="H11">
        <v>2.48</v>
      </c>
      <c r="I11">
        <v>101</v>
      </c>
      <c r="J11" t="e">
        <f>VLOOKUP(B11,'ALL Projects'!$A$2:$C478,2,0)</f>
        <v>#N/A</v>
      </c>
    </row>
    <row r="12" spans="1:10">
      <c r="A12">
        <v>11</v>
      </c>
      <c r="B12">
        <v>221000123</v>
      </c>
      <c r="C12" t="s">
        <v>1176</v>
      </c>
      <c r="D12" t="s">
        <v>1197</v>
      </c>
      <c r="E12" t="s">
        <v>1198</v>
      </c>
      <c r="F12">
        <v>2.92</v>
      </c>
      <c r="G12">
        <v>103</v>
      </c>
      <c r="H12">
        <v>2.89</v>
      </c>
      <c r="I12">
        <v>103</v>
      </c>
      <c r="J12" t="e">
        <f>VLOOKUP(B12,'ALL Projects'!$A$2:$C480,2,0)</f>
        <v>#N/A</v>
      </c>
    </row>
    <row r="13" spans="1:10">
      <c r="A13">
        <v>12</v>
      </c>
      <c r="B13">
        <v>221000142</v>
      </c>
      <c r="C13" t="s">
        <v>1176</v>
      </c>
      <c r="D13" t="s">
        <v>1199</v>
      </c>
      <c r="E13" t="s">
        <v>1200</v>
      </c>
      <c r="F13">
        <v>3.35</v>
      </c>
      <c r="G13">
        <v>102</v>
      </c>
      <c r="H13">
        <v>3.28</v>
      </c>
      <c r="I13">
        <v>102</v>
      </c>
      <c r="J13" t="e">
        <f>VLOOKUP(B13,'ALL Projects'!$A$2:$C481,2,0)</f>
        <v>#N/A</v>
      </c>
    </row>
    <row r="14" spans="1:10">
      <c r="A14">
        <v>13</v>
      </c>
      <c r="B14">
        <v>221000347</v>
      </c>
      <c r="C14" t="s">
        <v>1176</v>
      </c>
      <c r="D14" t="s">
        <v>1201</v>
      </c>
      <c r="E14" t="s">
        <v>1202</v>
      </c>
      <c r="F14">
        <v>2.9</v>
      </c>
      <c r="G14">
        <v>102</v>
      </c>
      <c r="H14">
        <v>2.94</v>
      </c>
      <c r="I14">
        <v>102</v>
      </c>
      <c r="J14" t="e">
        <f>VLOOKUP(B14,'ALL Projects'!$A$2:$C482,2,0)</f>
        <v>#N/A</v>
      </c>
    </row>
    <row r="15" spans="1:10">
      <c r="A15">
        <v>14</v>
      </c>
      <c r="B15">
        <v>221000645</v>
      </c>
      <c r="C15" t="s">
        <v>1176</v>
      </c>
      <c r="D15" t="s">
        <v>1203</v>
      </c>
      <c r="E15" t="s">
        <v>1204</v>
      </c>
      <c r="F15">
        <v>3.95</v>
      </c>
      <c r="G15">
        <v>102</v>
      </c>
      <c r="H15">
        <v>3.96</v>
      </c>
      <c r="I15">
        <v>102</v>
      </c>
      <c r="J15" t="e">
        <f>VLOOKUP(B15,'ALL Projects'!$A$2:$C483,2,0)</f>
        <v>#N/A</v>
      </c>
    </row>
    <row r="16" spans="1:10">
      <c r="A16">
        <v>15</v>
      </c>
      <c r="B16">
        <v>221000759</v>
      </c>
      <c r="C16" t="s">
        <v>1176</v>
      </c>
      <c r="D16" t="s">
        <v>1205</v>
      </c>
      <c r="E16" t="s">
        <v>1206</v>
      </c>
      <c r="F16">
        <v>3.62</v>
      </c>
      <c r="G16">
        <v>102</v>
      </c>
      <c r="H16">
        <v>3.67</v>
      </c>
      <c r="I16">
        <v>102</v>
      </c>
      <c r="J16" t="e">
        <f>VLOOKUP(B16,'ALL Projects'!$A$2:$C484,2,0)</f>
        <v>#N/A</v>
      </c>
    </row>
    <row r="17" spans="1:10">
      <c r="A17">
        <v>16</v>
      </c>
      <c r="B17">
        <v>221000770</v>
      </c>
      <c r="C17" t="s">
        <v>1176</v>
      </c>
      <c r="D17" t="s">
        <v>1207</v>
      </c>
      <c r="E17" t="s">
        <v>1208</v>
      </c>
      <c r="F17">
        <v>4</v>
      </c>
      <c r="G17">
        <v>102</v>
      </c>
      <c r="H17">
        <v>4</v>
      </c>
      <c r="I17">
        <v>102</v>
      </c>
      <c r="J17" t="e">
        <f>VLOOKUP(B17,'ALL Projects'!$A$2:$C485,2,0)</f>
        <v>#N/A</v>
      </c>
    </row>
    <row r="18" spans="1:10">
      <c r="A18">
        <v>17</v>
      </c>
      <c r="B18">
        <v>221000832</v>
      </c>
      <c r="C18" t="s">
        <v>1176</v>
      </c>
      <c r="D18" t="s">
        <v>1209</v>
      </c>
      <c r="E18" t="s">
        <v>1210</v>
      </c>
      <c r="F18">
        <v>4</v>
      </c>
      <c r="G18">
        <v>102</v>
      </c>
      <c r="H18">
        <v>4</v>
      </c>
      <c r="I18">
        <v>102</v>
      </c>
      <c r="J18" t="e">
        <f>VLOOKUP(B18,'ALL Projects'!$A$2:$C486,2,0)</f>
        <v>#N/A</v>
      </c>
    </row>
    <row r="19" spans="1:10">
      <c r="A19">
        <v>18</v>
      </c>
      <c r="B19">
        <v>221001099</v>
      </c>
      <c r="C19" t="s">
        <v>1176</v>
      </c>
      <c r="D19" t="s">
        <v>1211</v>
      </c>
      <c r="E19" t="s">
        <v>1212</v>
      </c>
      <c r="F19">
        <v>4</v>
      </c>
      <c r="G19">
        <v>102</v>
      </c>
      <c r="H19">
        <v>4</v>
      </c>
      <c r="I19">
        <v>102</v>
      </c>
      <c r="J19" t="e">
        <f>VLOOKUP(B19,'ALL Projects'!$A$2:$C487,2,0)</f>
        <v>#N/A</v>
      </c>
    </row>
    <row r="20" spans="1:10">
      <c r="A20">
        <v>19</v>
      </c>
      <c r="B20">
        <v>221001237</v>
      </c>
      <c r="C20" t="s">
        <v>1176</v>
      </c>
      <c r="D20" t="s">
        <v>1213</v>
      </c>
      <c r="E20" t="s">
        <v>1214</v>
      </c>
      <c r="F20">
        <v>3.63</v>
      </c>
      <c r="G20">
        <v>102</v>
      </c>
      <c r="H20">
        <v>3.68</v>
      </c>
      <c r="I20">
        <v>102</v>
      </c>
      <c r="J20" t="e">
        <f>VLOOKUP(B20,'ALL Projects'!$A$2:$C488,2,0)</f>
        <v>#N/A</v>
      </c>
    </row>
    <row r="21" spans="1:10">
      <c r="A21">
        <v>20</v>
      </c>
      <c r="B21">
        <v>221001524</v>
      </c>
      <c r="C21" t="s">
        <v>1176</v>
      </c>
      <c r="D21" t="s">
        <v>1215</v>
      </c>
      <c r="E21" t="s">
        <v>1216</v>
      </c>
      <c r="F21">
        <v>3.14</v>
      </c>
      <c r="G21">
        <v>102</v>
      </c>
      <c r="H21">
        <v>3.15</v>
      </c>
      <c r="I21">
        <v>102</v>
      </c>
      <c r="J21" t="e">
        <f>VLOOKUP(B21,'ALL Projects'!$A$2:$C489,2,0)</f>
        <v>#N/A</v>
      </c>
    </row>
    <row r="22" spans="1:10">
      <c r="A22">
        <v>21</v>
      </c>
      <c r="B22">
        <v>221001565</v>
      </c>
      <c r="C22" t="s">
        <v>1176</v>
      </c>
      <c r="D22" t="s">
        <v>1217</v>
      </c>
      <c r="E22" t="s">
        <v>1218</v>
      </c>
      <c r="F22">
        <v>3.53</v>
      </c>
      <c r="G22">
        <v>102</v>
      </c>
      <c r="H22">
        <v>3.53</v>
      </c>
      <c r="I22">
        <v>102</v>
      </c>
      <c r="J22" t="e">
        <f>VLOOKUP(B22,'ALL Projects'!$A$2:$C490,2,0)</f>
        <v>#N/A</v>
      </c>
    </row>
    <row r="23" spans="1:10">
      <c r="A23">
        <v>22</v>
      </c>
      <c r="B23">
        <v>221001592</v>
      </c>
      <c r="C23" t="s">
        <v>1176</v>
      </c>
      <c r="D23" t="s">
        <v>1219</v>
      </c>
      <c r="E23" t="s">
        <v>1220</v>
      </c>
      <c r="F23">
        <v>3.22</v>
      </c>
      <c r="G23">
        <v>102</v>
      </c>
      <c r="H23">
        <v>3.27</v>
      </c>
      <c r="I23">
        <v>102</v>
      </c>
      <c r="J23" t="e">
        <f>VLOOKUP(B23,'ALL Projects'!$A$2:$C491,2,0)</f>
        <v>#N/A</v>
      </c>
    </row>
    <row r="24" spans="1:10">
      <c r="A24">
        <v>23</v>
      </c>
      <c r="B24">
        <v>221001647</v>
      </c>
      <c r="C24" t="s">
        <v>1176</v>
      </c>
      <c r="D24" t="s">
        <v>1221</v>
      </c>
      <c r="E24" t="s">
        <v>1222</v>
      </c>
      <c r="F24">
        <v>3.54</v>
      </c>
      <c r="G24">
        <v>102</v>
      </c>
      <c r="H24">
        <v>3.53</v>
      </c>
      <c r="I24">
        <v>102</v>
      </c>
      <c r="J24" t="e">
        <f>VLOOKUP(B24,'ALL Projects'!$A$2:$C492,2,0)</f>
        <v>#N/A</v>
      </c>
    </row>
    <row r="25" spans="1:10">
      <c r="A25">
        <v>24</v>
      </c>
      <c r="B25">
        <v>221001701</v>
      </c>
      <c r="C25" t="s">
        <v>1176</v>
      </c>
      <c r="D25" t="s">
        <v>1223</v>
      </c>
      <c r="E25" t="s">
        <v>1224</v>
      </c>
      <c r="F25">
        <v>3.93</v>
      </c>
      <c r="G25">
        <v>102</v>
      </c>
      <c r="H25">
        <v>3.94</v>
      </c>
      <c r="I25">
        <v>102</v>
      </c>
      <c r="J25" t="e">
        <f>VLOOKUP(B25,'ALL Projects'!$A$2:$C493,2,0)</f>
        <v>#N/A</v>
      </c>
    </row>
    <row r="26" spans="1:10">
      <c r="A26">
        <v>25</v>
      </c>
      <c r="B26">
        <v>211001892</v>
      </c>
      <c r="C26" t="s">
        <v>1176</v>
      </c>
      <c r="D26" t="s">
        <v>1225</v>
      </c>
      <c r="E26" t="s">
        <v>1226</v>
      </c>
      <c r="F26">
        <v>2.08</v>
      </c>
      <c r="G26">
        <v>101</v>
      </c>
      <c r="H26">
        <v>2.3199999999999998</v>
      </c>
      <c r="I26">
        <v>99</v>
      </c>
      <c r="J26" t="e">
        <f>VLOOKUP(B26,'ALL Projects'!$A$2:$C494,2,0)</f>
        <v>#N/A</v>
      </c>
    </row>
    <row r="27" spans="1:10">
      <c r="A27">
        <v>26</v>
      </c>
      <c r="B27">
        <v>221000147</v>
      </c>
      <c r="C27" t="s">
        <v>1176</v>
      </c>
      <c r="D27" t="s">
        <v>1227</v>
      </c>
      <c r="E27" t="s">
        <v>1228</v>
      </c>
      <c r="F27">
        <v>2.59</v>
      </c>
      <c r="G27">
        <v>101</v>
      </c>
      <c r="H27">
        <v>2.58</v>
      </c>
      <c r="I27">
        <v>97</v>
      </c>
      <c r="J27" t="e">
        <f>VLOOKUP(B27,'ALL Projects'!$A$2:$C495,2,0)</f>
        <v>#N/A</v>
      </c>
    </row>
    <row r="28" spans="1:10">
      <c r="A28">
        <v>27</v>
      </c>
      <c r="B28">
        <v>221001347</v>
      </c>
      <c r="C28" t="s">
        <v>1176</v>
      </c>
      <c r="D28" t="s">
        <v>1229</v>
      </c>
      <c r="E28" t="s">
        <v>1230</v>
      </c>
      <c r="F28">
        <v>3.84</v>
      </c>
      <c r="G28">
        <v>101</v>
      </c>
      <c r="H28">
        <v>3.81</v>
      </c>
      <c r="I28">
        <v>101</v>
      </c>
      <c r="J28" t="e">
        <f>VLOOKUP(B28,'ALL Projects'!$A$2:$C496,2,0)</f>
        <v>#N/A</v>
      </c>
    </row>
    <row r="29" spans="1:10">
      <c r="A29">
        <v>28</v>
      </c>
      <c r="B29">
        <v>221001470</v>
      </c>
      <c r="C29" t="s">
        <v>1176</v>
      </c>
      <c r="D29" t="s">
        <v>1231</v>
      </c>
      <c r="E29" t="s">
        <v>1232</v>
      </c>
      <c r="F29">
        <v>3.8</v>
      </c>
      <c r="G29">
        <v>101</v>
      </c>
      <c r="H29">
        <v>3.78</v>
      </c>
      <c r="I29">
        <v>101</v>
      </c>
      <c r="J29" t="e">
        <f>VLOOKUP(B29,'ALL Projects'!$A$2:$C505,2,0)</f>
        <v>#N/A</v>
      </c>
    </row>
    <row r="30" spans="1:10">
      <c r="A30">
        <v>29</v>
      </c>
      <c r="B30">
        <v>221001493</v>
      </c>
      <c r="C30" t="s">
        <v>1176</v>
      </c>
      <c r="D30" t="s">
        <v>1233</v>
      </c>
      <c r="E30" t="s">
        <v>1234</v>
      </c>
      <c r="F30">
        <v>3.02</v>
      </c>
      <c r="G30">
        <v>101</v>
      </c>
      <c r="H30">
        <v>3.14</v>
      </c>
      <c r="I30">
        <v>101</v>
      </c>
      <c r="J30" t="e">
        <f>VLOOKUP(B30,'ALL Projects'!$A$2:$C505,2,0)</f>
        <v>#N/A</v>
      </c>
    </row>
    <row r="31" spans="1:10">
      <c r="A31">
        <v>30</v>
      </c>
      <c r="B31">
        <v>221001646</v>
      </c>
      <c r="C31" t="s">
        <v>1176</v>
      </c>
      <c r="D31" t="s">
        <v>1235</v>
      </c>
      <c r="E31" t="s">
        <v>1236</v>
      </c>
      <c r="F31">
        <v>3.68</v>
      </c>
      <c r="G31">
        <v>101</v>
      </c>
      <c r="H31">
        <v>3.73</v>
      </c>
      <c r="I31">
        <v>101</v>
      </c>
      <c r="J31" t="e">
        <f>VLOOKUP(B31,'ALL Projects'!$A$2:$C505,2,0)</f>
        <v>#N/A</v>
      </c>
    </row>
    <row r="32" spans="1:10">
      <c r="A32">
        <v>31</v>
      </c>
      <c r="B32">
        <v>221000072</v>
      </c>
      <c r="C32" t="s">
        <v>1176</v>
      </c>
      <c r="D32" t="s">
        <v>1237</v>
      </c>
      <c r="E32" t="s">
        <v>1238</v>
      </c>
      <c r="F32">
        <v>3.88</v>
      </c>
      <c r="G32">
        <v>100</v>
      </c>
      <c r="H32">
        <v>3.89</v>
      </c>
      <c r="I32">
        <v>100</v>
      </c>
      <c r="J32" t="e">
        <f>VLOOKUP(B32,'ALL Projects'!$A$2:$C505,2,0)</f>
        <v>#N/A</v>
      </c>
    </row>
    <row r="33" spans="1:10">
      <c r="A33">
        <v>32</v>
      </c>
      <c r="B33">
        <v>221000117</v>
      </c>
      <c r="C33" t="s">
        <v>1176</v>
      </c>
      <c r="D33" t="s">
        <v>1239</v>
      </c>
      <c r="E33" t="s">
        <v>1240</v>
      </c>
      <c r="F33">
        <v>2.89</v>
      </c>
      <c r="G33">
        <v>100</v>
      </c>
      <c r="H33">
        <v>2.87</v>
      </c>
      <c r="I33">
        <v>100</v>
      </c>
      <c r="J33" t="e">
        <f>VLOOKUP(B33,'ALL Projects'!$A$2:$C505,2,0)</f>
        <v>#N/A</v>
      </c>
    </row>
    <row r="34" spans="1:10">
      <c r="A34">
        <v>33</v>
      </c>
      <c r="B34">
        <v>221000318</v>
      </c>
      <c r="C34" t="s">
        <v>1176</v>
      </c>
      <c r="D34" t="s">
        <v>1241</v>
      </c>
      <c r="E34" t="s">
        <v>1242</v>
      </c>
      <c r="F34">
        <v>3.67</v>
      </c>
      <c r="G34">
        <v>100</v>
      </c>
      <c r="H34">
        <v>3.71</v>
      </c>
      <c r="I34">
        <v>100</v>
      </c>
      <c r="J34" t="e">
        <f>VLOOKUP(B34,'ALL Projects'!$A$2:$C505,2,0)</f>
        <v>#N/A</v>
      </c>
    </row>
    <row r="35" spans="1:10">
      <c r="A35">
        <v>34</v>
      </c>
      <c r="B35">
        <v>221000570</v>
      </c>
      <c r="C35" t="s">
        <v>1176</v>
      </c>
      <c r="D35" t="s">
        <v>1243</v>
      </c>
      <c r="E35" t="s">
        <v>1244</v>
      </c>
      <c r="F35">
        <v>3.71</v>
      </c>
      <c r="G35">
        <v>100</v>
      </c>
      <c r="H35">
        <v>3.73</v>
      </c>
      <c r="I35">
        <v>100</v>
      </c>
      <c r="J35" t="e">
        <f>VLOOKUP(B35,'ALL Projects'!$A$2:$C505,2,0)</f>
        <v>#N/A</v>
      </c>
    </row>
    <row r="36" spans="1:10">
      <c r="A36">
        <v>35</v>
      </c>
      <c r="B36">
        <v>221000681</v>
      </c>
      <c r="C36" t="s">
        <v>1176</v>
      </c>
      <c r="D36" t="s">
        <v>1245</v>
      </c>
      <c r="E36" t="s">
        <v>1246</v>
      </c>
      <c r="F36">
        <v>2.7</v>
      </c>
      <c r="G36">
        <v>100</v>
      </c>
      <c r="H36">
        <v>2.66</v>
      </c>
      <c r="I36">
        <v>100</v>
      </c>
      <c r="J36" t="e">
        <f>VLOOKUP(B36,'ALL Projects'!$A$2:$C505,2,0)</f>
        <v>#N/A</v>
      </c>
    </row>
    <row r="37" spans="1:10">
      <c r="A37">
        <v>36</v>
      </c>
      <c r="B37">
        <v>202001369</v>
      </c>
      <c r="C37" t="s">
        <v>1176</v>
      </c>
      <c r="D37" t="s">
        <v>1247</v>
      </c>
      <c r="E37" t="s">
        <v>1248</v>
      </c>
      <c r="F37">
        <v>2.4300000000000002</v>
      </c>
      <c r="G37">
        <v>99</v>
      </c>
      <c r="H37">
        <v>2.3199999999999998</v>
      </c>
      <c r="I37">
        <v>99</v>
      </c>
      <c r="J37" t="e">
        <f>VLOOKUP(B37,'ALL Projects'!$A$2:$C505,2,0)</f>
        <v>#N/A</v>
      </c>
    </row>
    <row r="38" spans="1:10">
      <c r="A38">
        <v>37</v>
      </c>
      <c r="B38">
        <v>221000062</v>
      </c>
      <c r="C38" t="s">
        <v>1176</v>
      </c>
      <c r="D38" t="s">
        <v>1249</v>
      </c>
      <c r="E38" t="s">
        <v>1250</v>
      </c>
      <c r="F38">
        <v>3.59</v>
      </c>
      <c r="G38">
        <v>99</v>
      </c>
      <c r="H38">
        <v>3.61</v>
      </c>
      <c r="I38">
        <v>99</v>
      </c>
      <c r="J38" t="e">
        <f>VLOOKUP(B38,'ALL Projects'!$A$2:$C505,2,0)</f>
        <v>#N/A</v>
      </c>
    </row>
    <row r="39" spans="1:10">
      <c r="A39">
        <v>38</v>
      </c>
      <c r="B39">
        <v>221000086</v>
      </c>
      <c r="C39" t="s">
        <v>1176</v>
      </c>
      <c r="D39" t="s">
        <v>1251</v>
      </c>
      <c r="E39" t="s">
        <v>1252</v>
      </c>
      <c r="F39">
        <v>3.22</v>
      </c>
      <c r="G39">
        <v>99</v>
      </c>
      <c r="H39">
        <v>3.19</v>
      </c>
      <c r="I39">
        <v>97</v>
      </c>
      <c r="J39" t="e">
        <f>VLOOKUP(B39,'ALL Projects'!$A$2:$C506,2,0)</f>
        <v>#N/A</v>
      </c>
    </row>
    <row r="40" spans="1:10">
      <c r="A40">
        <v>39</v>
      </c>
      <c r="B40">
        <v>221000927</v>
      </c>
      <c r="C40" t="s">
        <v>1176</v>
      </c>
      <c r="D40" t="s">
        <v>1253</v>
      </c>
      <c r="E40" t="s">
        <v>1254</v>
      </c>
      <c r="F40">
        <v>2.65</v>
      </c>
      <c r="G40">
        <v>99</v>
      </c>
      <c r="H40">
        <v>2.69</v>
      </c>
      <c r="I40">
        <v>99</v>
      </c>
      <c r="J40" t="e">
        <f>VLOOKUP(B40,'ALL Projects'!$A$2:$C507,2,0)</f>
        <v>#N/A</v>
      </c>
    </row>
    <row r="41" spans="1:10">
      <c r="A41">
        <v>40</v>
      </c>
      <c r="B41">
        <v>221001704</v>
      </c>
      <c r="C41" t="s">
        <v>1176</v>
      </c>
      <c r="D41" t="s">
        <v>1255</v>
      </c>
      <c r="E41" t="s">
        <v>1256</v>
      </c>
      <c r="F41">
        <v>3.5</v>
      </c>
      <c r="G41">
        <v>99</v>
      </c>
      <c r="H41">
        <v>3.54</v>
      </c>
      <c r="I41">
        <v>99</v>
      </c>
      <c r="J41" t="e">
        <f>VLOOKUP(B41,'ALL Projects'!$A$2:$C508,2,0)</f>
        <v>#N/A</v>
      </c>
    </row>
    <row r="42" spans="1:10">
      <c r="A42">
        <v>41</v>
      </c>
      <c r="B42">
        <v>221001815</v>
      </c>
      <c r="C42" t="s">
        <v>1176</v>
      </c>
      <c r="D42" t="s">
        <v>1257</v>
      </c>
      <c r="E42" t="s">
        <v>1258</v>
      </c>
      <c r="F42">
        <v>3.84</v>
      </c>
      <c r="G42">
        <v>99</v>
      </c>
      <c r="H42">
        <v>3.83</v>
      </c>
      <c r="I42">
        <v>99</v>
      </c>
      <c r="J42" t="e">
        <f>VLOOKUP(B42,'ALL Projects'!$A$2:$C509,2,0)</f>
        <v>#N/A</v>
      </c>
    </row>
    <row r="43" spans="1:10">
      <c r="A43">
        <v>42</v>
      </c>
      <c r="B43">
        <v>211002041</v>
      </c>
      <c r="C43" t="s">
        <v>1176</v>
      </c>
      <c r="D43" t="s">
        <v>1259</v>
      </c>
      <c r="E43" t="s">
        <v>1260</v>
      </c>
      <c r="F43">
        <v>2.17</v>
      </c>
      <c r="G43">
        <v>98</v>
      </c>
      <c r="H43">
        <v>2.02</v>
      </c>
      <c r="I43">
        <v>89</v>
      </c>
      <c r="J43" t="e">
        <f>VLOOKUP(B43,'ALL Projects'!$A$2:$C510,2,0)</f>
        <v>#N/A</v>
      </c>
    </row>
    <row r="44" spans="1:10">
      <c r="A44">
        <v>43</v>
      </c>
      <c r="B44">
        <v>221000744</v>
      </c>
      <c r="C44" t="s">
        <v>1176</v>
      </c>
      <c r="D44" t="s">
        <v>1261</v>
      </c>
      <c r="E44" t="s">
        <v>1262</v>
      </c>
      <c r="F44">
        <v>2.15</v>
      </c>
      <c r="G44">
        <v>98</v>
      </c>
      <c r="H44">
        <v>2.2400000000000002</v>
      </c>
      <c r="I44">
        <v>98</v>
      </c>
      <c r="J44" t="e">
        <f>VLOOKUP(B44,'ALL Projects'!$A$2:$C511,2,0)</f>
        <v>#N/A</v>
      </c>
    </row>
    <row r="45" spans="1:10">
      <c r="A45">
        <v>44</v>
      </c>
      <c r="B45">
        <v>221001421</v>
      </c>
      <c r="C45" t="s">
        <v>1176</v>
      </c>
      <c r="D45" t="s">
        <v>1263</v>
      </c>
      <c r="E45" t="s">
        <v>1264</v>
      </c>
      <c r="F45">
        <v>2.15</v>
      </c>
      <c r="G45">
        <v>97</v>
      </c>
      <c r="H45">
        <v>2.13</v>
      </c>
      <c r="I45">
        <v>97</v>
      </c>
      <c r="J45" t="e">
        <f>VLOOKUP(B45,'ALL Projects'!$A$2:$C512,2,0)</f>
        <v>#N/A</v>
      </c>
    </row>
    <row r="46" spans="1:10">
      <c r="A46">
        <v>45</v>
      </c>
      <c r="B46">
        <v>221001520</v>
      </c>
      <c r="C46" t="s">
        <v>1176</v>
      </c>
      <c r="D46" t="s">
        <v>1265</v>
      </c>
      <c r="E46" t="s">
        <v>1266</v>
      </c>
      <c r="F46">
        <v>2.83</v>
      </c>
      <c r="G46">
        <v>97</v>
      </c>
      <c r="H46">
        <v>2.82</v>
      </c>
      <c r="I46">
        <v>97</v>
      </c>
      <c r="J46" t="e">
        <f>VLOOKUP(B46,'ALL Projects'!$A$2:$C513,2,0)</f>
        <v>#N/A</v>
      </c>
    </row>
    <row r="47" spans="1:10">
      <c r="A47">
        <v>46</v>
      </c>
      <c r="B47">
        <v>221000024</v>
      </c>
      <c r="C47" t="s">
        <v>1176</v>
      </c>
      <c r="D47" t="s">
        <v>1267</v>
      </c>
      <c r="E47" t="s">
        <v>1268</v>
      </c>
      <c r="F47">
        <v>2.39</v>
      </c>
      <c r="G47">
        <v>96</v>
      </c>
      <c r="H47">
        <v>2.41</v>
      </c>
      <c r="I47">
        <v>96</v>
      </c>
      <c r="J47" t="e">
        <f>VLOOKUP(B47,'ALL Projects'!$A$2:$C513,2,0)</f>
        <v>#N/A</v>
      </c>
    </row>
    <row r="48" spans="1:10">
      <c r="A48">
        <v>47</v>
      </c>
      <c r="B48">
        <v>221001050</v>
      </c>
      <c r="C48" t="s">
        <v>1176</v>
      </c>
      <c r="D48" t="s">
        <v>1269</v>
      </c>
      <c r="E48" t="s">
        <v>1270</v>
      </c>
      <c r="F48">
        <v>2.4300000000000002</v>
      </c>
      <c r="G48">
        <v>96</v>
      </c>
      <c r="H48">
        <v>2.29</v>
      </c>
      <c r="I48">
        <v>93</v>
      </c>
      <c r="J48" t="e">
        <f>VLOOKUP(B48,'ALL Projects'!$A$2:$C513,2,0)</f>
        <v>#N/A</v>
      </c>
    </row>
    <row r="49" spans="1:10">
      <c r="A49">
        <v>48</v>
      </c>
      <c r="B49">
        <v>221001055</v>
      </c>
      <c r="C49" t="s">
        <v>1176</v>
      </c>
      <c r="D49" t="s">
        <v>1271</v>
      </c>
      <c r="E49" t="s">
        <v>1272</v>
      </c>
      <c r="F49">
        <v>2.87</v>
      </c>
      <c r="G49">
        <v>96</v>
      </c>
      <c r="H49">
        <v>2.95</v>
      </c>
      <c r="I49">
        <v>93</v>
      </c>
      <c r="J49" t="e">
        <f>VLOOKUP(B49,'ALL Projects'!$A$2:$C513,2,0)</f>
        <v>#N/A</v>
      </c>
    </row>
    <row r="50" spans="1:10">
      <c r="A50">
        <v>49</v>
      </c>
      <c r="B50">
        <v>222000111</v>
      </c>
      <c r="C50" t="s">
        <v>1176</v>
      </c>
      <c r="D50" t="s">
        <v>1273</v>
      </c>
      <c r="E50" t="s">
        <v>1274</v>
      </c>
      <c r="F50">
        <v>3.89</v>
      </c>
      <c r="G50">
        <v>94</v>
      </c>
      <c r="H50">
        <v>3.89</v>
      </c>
      <c r="I50">
        <v>91</v>
      </c>
      <c r="J50" t="e">
        <f>VLOOKUP(B50,'ALL Projects'!$A$2:$C516,2,0)</f>
        <v>#N/A</v>
      </c>
    </row>
    <row r="51" spans="1:10">
      <c r="A51">
        <v>50</v>
      </c>
      <c r="B51">
        <v>221001882</v>
      </c>
      <c r="C51" t="s">
        <v>1176</v>
      </c>
      <c r="D51" t="s">
        <v>1275</v>
      </c>
      <c r="E51" t="s">
        <v>1276</v>
      </c>
      <c r="F51">
        <v>2.71</v>
      </c>
      <c r="G51">
        <v>93</v>
      </c>
      <c r="H51">
        <v>2.75</v>
      </c>
      <c r="I51">
        <v>93</v>
      </c>
      <c r="J51" t="e">
        <f>VLOOKUP(B51,'ALL Projects'!$A$2:$C516,2,0)</f>
        <v>#N/A</v>
      </c>
    </row>
    <row r="52" spans="1:10">
      <c r="A52">
        <v>51</v>
      </c>
      <c r="B52">
        <v>221000166</v>
      </c>
      <c r="C52" t="s">
        <v>1176</v>
      </c>
      <c r="D52" t="s">
        <v>1277</v>
      </c>
      <c r="E52" t="s">
        <v>1278</v>
      </c>
      <c r="F52">
        <v>2.0699999999999998</v>
      </c>
      <c r="G52">
        <v>87</v>
      </c>
      <c r="H52">
        <v>2.1800000000000002</v>
      </c>
      <c r="I52">
        <v>87</v>
      </c>
      <c r="J52" t="e">
        <f>VLOOKUP(B52,'ALL Projects'!$A$2:$C234,2,0)</f>
        <v>#N/A</v>
      </c>
    </row>
    <row r="53" spans="1:10">
      <c r="A53">
        <v>52</v>
      </c>
      <c r="B53">
        <v>221000728</v>
      </c>
      <c r="C53" t="s">
        <v>1176</v>
      </c>
      <c r="D53" t="s">
        <v>1279</v>
      </c>
      <c r="E53" t="s">
        <v>1280</v>
      </c>
      <c r="F53">
        <v>3.97</v>
      </c>
      <c r="G53">
        <v>87</v>
      </c>
      <c r="H53">
        <v>3.97</v>
      </c>
      <c r="I53">
        <v>84</v>
      </c>
      <c r="J53" t="e">
        <f>VLOOKUP(B53,'ALL Projects'!$A$2:$C234,2,0)</f>
        <v>#N/A</v>
      </c>
    </row>
    <row r="54" spans="1:10">
      <c r="A54">
        <v>53</v>
      </c>
      <c r="B54">
        <v>221000755</v>
      </c>
      <c r="C54" t="s">
        <v>1281</v>
      </c>
      <c r="D54" t="s">
        <v>1282</v>
      </c>
      <c r="E54" t="s">
        <v>1283</v>
      </c>
      <c r="F54">
        <v>3.39</v>
      </c>
      <c r="G54">
        <v>112</v>
      </c>
      <c r="H54">
        <v>3.42</v>
      </c>
      <c r="I54">
        <v>106</v>
      </c>
      <c r="J54" t="e">
        <f>VLOOKUP(B54,'ALL Projects'!$A$2:$C234,2,0)</f>
        <v>#N/A</v>
      </c>
    </row>
    <row r="55" spans="1:10">
      <c r="A55">
        <v>54</v>
      </c>
      <c r="B55">
        <v>202000096</v>
      </c>
      <c r="C55" t="s">
        <v>1281</v>
      </c>
      <c r="D55" t="s">
        <v>1284</v>
      </c>
      <c r="E55" t="s">
        <v>1285</v>
      </c>
      <c r="F55">
        <v>2.13</v>
      </c>
      <c r="G55">
        <v>105</v>
      </c>
      <c r="H55">
        <v>2.2000000000000002</v>
      </c>
      <c r="I55">
        <v>102</v>
      </c>
      <c r="J55" t="e">
        <f>VLOOKUP(B55,'ALL Projects'!$A$2:$C518,2,0)</f>
        <v>#N/A</v>
      </c>
    </row>
    <row r="56" spans="1:10">
      <c r="A56">
        <v>55</v>
      </c>
      <c r="B56">
        <v>19106040</v>
      </c>
      <c r="C56" t="s">
        <v>1281</v>
      </c>
      <c r="D56" t="s">
        <v>1286</v>
      </c>
      <c r="E56" t="s">
        <v>1287</v>
      </c>
      <c r="F56">
        <v>1.86</v>
      </c>
      <c r="G56">
        <v>101</v>
      </c>
      <c r="H56">
        <v>1.81</v>
      </c>
      <c r="I56">
        <v>84</v>
      </c>
      <c r="J56" t="e">
        <f>VLOOKUP(B56,'ALL Projects'!$A$2:$C520,2,0)</f>
        <v>#N/A</v>
      </c>
    </row>
    <row r="57" spans="1:10">
      <c r="A57">
        <v>56</v>
      </c>
      <c r="B57">
        <v>221000471</v>
      </c>
      <c r="C57" t="s">
        <v>1281</v>
      </c>
      <c r="D57" t="s">
        <v>1288</v>
      </c>
      <c r="E57" t="s">
        <v>1289</v>
      </c>
      <c r="F57">
        <v>3.05</v>
      </c>
      <c r="G57">
        <v>101</v>
      </c>
      <c r="H57">
        <v>3.11</v>
      </c>
      <c r="I57">
        <v>101</v>
      </c>
      <c r="J57" t="e">
        <f>VLOOKUP(B57,'ALL Projects'!$A$2:$C520,2,0)</f>
        <v>#N/A</v>
      </c>
    </row>
    <row r="58" spans="1:10">
      <c r="A58">
        <v>57</v>
      </c>
      <c r="B58">
        <v>221000746</v>
      </c>
      <c r="C58" t="s">
        <v>1281</v>
      </c>
      <c r="D58" t="s">
        <v>1290</v>
      </c>
      <c r="E58" t="s">
        <v>1291</v>
      </c>
      <c r="F58">
        <v>3.32</v>
      </c>
      <c r="G58">
        <v>101</v>
      </c>
      <c r="H58">
        <v>3.4</v>
      </c>
      <c r="I58">
        <v>101</v>
      </c>
      <c r="J58" t="e">
        <f>VLOOKUP(B58,'ALL Projects'!$A$2:$C520,2,0)</f>
        <v>#N/A</v>
      </c>
    </row>
    <row r="59" spans="1:10">
      <c r="A59">
        <v>58</v>
      </c>
      <c r="B59">
        <v>221000961</v>
      </c>
      <c r="C59" t="s">
        <v>1281</v>
      </c>
      <c r="D59" t="s">
        <v>1292</v>
      </c>
      <c r="E59" t="s">
        <v>1293</v>
      </c>
      <c r="F59">
        <v>3.5</v>
      </c>
      <c r="G59">
        <v>101</v>
      </c>
      <c r="H59">
        <v>3.49</v>
      </c>
      <c r="I59">
        <v>101</v>
      </c>
      <c r="J59" t="e">
        <f>VLOOKUP(B59,'ALL Projects'!$A$2:$C520,2,0)</f>
        <v>#N/A</v>
      </c>
    </row>
    <row r="60" spans="1:10">
      <c r="A60">
        <v>59</v>
      </c>
      <c r="B60">
        <v>221001465</v>
      </c>
      <c r="C60" t="s">
        <v>1281</v>
      </c>
      <c r="D60" t="s">
        <v>1294</v>
      </c>
      <c r="E60" t="s">
        <v>1295</v>
      </c>
      <c r="F60">
        <v>3.54</v>
      </c>
      <c r="G60">
        <v>101</v>
      </c>
      <c r="H60">
        <v>3.62</v>
      </c>
      <c r="I60">
        <v>101</v>
      </c>
      <c r="J60" t="e">
        <f>VLOOKUP(B60,'ALL Projects'!$A$2:$C520,2,0)</f>
        <v>#N/A</v>
      </c>
    </row>
    <row r="61" spans="1:10">
      <c r="A61">
        <v>60</v>
      </c>
      <c r="B61">
        <v>221001505</v>
      </c>
      <c r="C61" t="s">
        <v>1281</v>
      </c>
      <c r="D61" t="s">
        <v>1296</v>
      </c>
      <c r="E61" t="s">
        <v>1297</v>
      </c>
      <c r="F61">
        <v>3.8</v>
      </c>
      <c r="G61">
        <v>101</v>
      </c>
      <c r="H61">
        <v>3.82</v>
      </c>
      <c r="I61">
        <v>101</v>
      </c>
      <c r="J61" t="e">
        <f>VLOOKUP(B61,'ALL Projects'!$A$2:$C521,2,0)</f>
        <v>#N/A</v>
      </c>
    </row>
    <row r="62" spans="1:10">
      <c r="A62">
        <v>61</v>
      </c>
      <c r="B62">
        <v>221001547</v>
      </c>
      <c r="C62" t="s">
        <v>1281</v>
      </c>
      <c r="D62" t="s">
        <v>1298</v>
      </c>
      <c r="E62" t="s">
        <v>1299</v>
      </c>
      <c r="F62">
        <v>3.98</v>
      </c>
      <c r="G62">
        <v>101</v>
      </c>
      <c r="H62">
        <v>3.98</v>
      </c>
      <c r="I62">
        <v>101</v>
      </c>
      <c r="J62" t="e">
        <f>VLOOKUP(B62,'ALL Projects'!$A$2:$C521,2,0)</f>
        <v>#N/A</v>
      </c>
    </row>
    <row r="63" spans="1:10">
      <c r="A63">
        <v>62</v>
      </c>
      <c r="B63">
        <v>221001548</v>
      </c>
      <c r="C63" t="s">
        <v>1281</v>
      </c>
      <c r="D63" t="s">
        <v>1300</v>
      </c>
      <c r="E63" t="s">
        <v>1301</v>
      </c>
      <c r="F63">
        <v>3.72</v>
      </c>
      <c r="G63">
        <v>101</v>
      </c>
      <c r="H63">
        <v>3.75</v>
      </c>
      <c r="I63">
        <v>99</v>
      </c>
      <c r="J63" t="e">
        <f>VLOOKUP(B63,'ALL Projects'!$A$2:$C521,2,0)</f>
        <v>#N/A</v>
      </c>
    </row>
    <row r="64" spans="1:10">
      <c r="A64">
        <v>63</v>
      </c>
      <c r="B64">
        <v>221001665</v>
      </c>
      <c r="C64" t="s">
        <v>1281</v>
      </c>
      <c r="D64" t="s">
        <v>1302</v>
      </c>
      <c r="E64" t="s">
        <v>1303</v>
      </c>
      <c r="F64">
        <v>3.91</v>
      </c>
      <c r="G64">
        <v>101</v>
      </c>
      <c r="H64">
        <v>3.92</v>
      </c>
      <c r="I64">
        <v>101</v>
      </c>
      <c r="J64" t="e">
        <f>VLOOKUP(B64,'ALL Projects'!$A$2:$C521,2,0)</f>
        <v>#N/A</v>
      </c>
    </row>
    <row r="65" spans="1:10">
      <c r="A65">
        <v>64</v>
      </c>
      <c r="B65">
        <v>221001958</v>
      </c>
      <c r="C65" t="s">
        <v>1281</v>
      </c>
      <c r="D65" t="s">
        <v>1304</v>
      </c>
      <c r="E65" t="s">
        <v>1305</v>
      </c>
      <c r="F65">
        <v>3.22</v>
      </c>
      <c r="G65">
        <v>101</v>
      </c>
      <c r="H65">
        <v>3.33</v>
      </c>
      <c r="I65">
        <v>98</v>
      </c>
      <c r="J65" t="e">
        <f>VLOOKUP(B65,'ALL Projects'!$A$2:$C521,2,0)</f>
        <v>#N/A</v>
      </c>
    </row>
    <row r="66" spans="1:10">
      <c r="A66">
        <v>65</v>
      </c>
      <c r="B66">
        <v>221002111</v>
      </c>
      <c r="C66" t="s">
        <v>1281</v>
      </c>
      <c r="D66" t="s">
        <v>1306</v>
      </c>
      <c r="E66" t="s">
        <v>1307</v>
      </c>
      <c r="F66">
        <v>3.98</v>
      </c>
      <c r="G66">
        <v>101</v>
      </c>
      <c r="H66">
        <v>3.98</v>
      </c>
      <c r="I66">
        <v>101</v>
      </c>
      <c r="J66" t="e">
        <f>VLOOKUP(B66,'ALL Projects'!$A$2:$C526,2,0)</f>
        <v>#N/A</v>
      </c>
    </row>
    <row r="67" spans="1:10">
      <c r="A67">
        <v>66</v>
      </c>
      <c r="B67">
        <v>221000697</v>
      </c>
      <c r="C67" t="s">
        <v>1281</v>
      </c>
      <c r="D67" t="s">
        <v>1308</v>
      </c>
      <c r="E67" t="s">
        <v>1309</v>
      </c>
      <c r="F67">
        <v>3.84</v>
      </c>
      <c r="G67">
        <v>99</v>
      </c>
      <c r="H67">
        <v>3.98</v>
      </c>
      <c r="I67">
        <v>101</v>
      </c>
      <c r="J67" t="e">
        <f>VLOOKUP(B67,'ALL Projects'!$A$2:$C527,2,0)</f>
        <v>#N/A</v>
      </c>
    </row>
    <row r="68" spans="1:10">
      <c r="A68">
        <v>67</v>
      </c>
      <c r="B68">
        <v>221000994</v>
      </c>
      <c r="C68" t="s">
        <v>1281</v>
      </c>
      <c r="D68" t="s">
        <v>1310</v>
      </c>
      <c r="E68" t="s">
        <v>1311</v>
      </c>
      <c r="F68">
        <v>3.76</v>
      </c>
      <c r="G68">
        <v>99</v>
      </c>
      <c r="H68">
        <v>3.8</v>
      </c>
      <c r="I68">
        <v>99</v>
      </c>
      <c r="J68" t="e">
        <f>VLOOKUP(B68,'ALL Projects'!$A$2:$C528,2,0)</f>
        <v>#N/A</v>
      </c>
    </row>
    <row r="69" spans="1:10">
      <c r="A69">
        <v>68</v>
      </c>
      <c r="B69">
        <v>221001120</v>
      </c>
      <c r="C69" t="s">
        <v>1281</v>
      </c>
      <c r="D69" t="s">
        <v>1312</v>
      </c>
      <c r="E69" t="s">
        <v>1313</v>
      </c>
      <c r="F69">
        <v>3.08</v>
      </c>
      <c r="G69">
        <v>99</v>
      </c>
      <c r="H69">
        <v>3.11</v>
      </c>
      <c r="I69">
        <v>99</v>
      </c>
      <c r="J69" t="e">
        <f>VLOOKUP(B69,'ALL Projects'!$A$2:$C529,2,0)</f>
        <v>#N/A</v>
      </c>
    </row>
    <row r="70" spans="1:10">
      <c r="A70">
        <v>69</v>
      </c>
      <c r="B70">
        <v>221001618</v>
      </c>
      <c r="C70" t="s">
        <v>1281</v>
      </c>
      <c r="D70" t="s">
        <v>1314</v>
      </c>
      <c r="E70" t="s">
        <v>1315</v>
      </c>
      <c r="F70">
        <v>3.99</v>
      </c>
      <c r="G70">
        <v>99</v>
      </c>
      <c r="H70">
        <v>3.99</v>
      </c>
      <c r="I70">
        <v>99</v>
      </c>
      <c r="J70" t="e">
        <f>VLOOKUP(B70,'ALL Projects'!$A$2:$C529,2,0)</f>
        <v>#N/A</v>
      </c>
    </row>
    <row r="71" spans="1:10">
      <c r="A71">
        <v>70</v>
      </c>
      <c r="B71">
        <v>221001630</v>
      </c>
      <c r="C71" t="s">
        <v>1281</v>
      </c>
      <c r="D71" t="s">
        <v>1316</v>
      </c>
      <c r="E71" t="s">
        <v>1317</v>
      </c>
      <c r="F71">
        <v>3.42</v>
      </c>
      <c r="G71">
        <v>99</v>
      </c>
      <c r="H71">
        <v>3.45</v>
      </c>
      <c r="I71">
        <v>99</v>
      </c>
      <c r="J71" t="e">
        <f>VLOOKUP(B71,'ALL Projects'!$A$2:$C529,2,0)</f>
        <v>#N/A</v>
      </c>
    </row>
    <row r="72" spans="1:10">
      <c r="A72">
        <v>71</v>
      </c>
      <c r="B72">
        <v>221001682</v>
      </c>
      <c r="C72" t="s">
        <v>1281</v>
      </c>
      <c r="D72" t="s">
        <v>1318</v>
      </c>
      <c r="E72" t="s">
        <v>1319</v>
      </c>
      <c r="F72">
        <v>3.2</v>
      </c>
      <c r="G72">
        <v>99</v>
      </c>
      <c r="H72">
        <v>3.29</v>
      </c>
      <c r="I72">
        <v>99</v>
      </c>
      <c r="J72" t="e">
        <f>VLOOKUP(B72,'ALL Projects'!$A$2:$C529,2,0)</f>
        <v>#N/A</v>
      </c>
    </row>
    <row r="73" spans="1:10">
      <c r="A73">
        <v>72</v>
      </c>
      <c r="B73">
        <v>221001688</v>
      </c>
      <c r="C73" t="s">
        <v>1281</v>
      </c>
      <c r="D73" t="s">
        <v>1320</v>
      </c>
      <c r="E73" t="s">
        <v>1321</v>
      </c>
      <c r="F73">
        <v>3.99</v>
      </c>
      <c r="G73">
        <v>99</v>
      </c>
      <c r="H73">
        <v>3.98</v>
      </c>
      <c r="I73">
        <v>99</v>
      </c>
      <c r="J73" t="e">
        <f>VLOOKUP(B73,'ALL Projects'!$A$2:$C529,2,0)</f>
        <v>#N/A</v>
      </c>
    </row>
    <row r="74" spans="1:10">
      <c r="A74">
        <v>73</v>
      </c>
      <c r="B74">
        <v>221001128</v>
      </c>
      <c r="C74" t="s">
        <v>1281</v>
      </c>
      <c r="D74" t="s">
        <v>1322</v>
      </c>
      <c r="E74" t="s">
        <v>1323</v>
      </c>
      <c r="F74">
        <v>3.13</v>
      </c>
      <c r="G74">
        <v>98</v>
      </c>
      <c r="H74">
        <v>3.14</v>
      </c>
      <c r="I74">
        <v>95</v>
      </c>
      <c r="J74" t="e">
        <f>VLOOKUP(B74,'ALL Projects'!$A$2:$C382,2,0)</f>
        <v>#N/A</v>
      </c>
    </row>
    <row r="75" spans="1:10">
      <c r="A75">
        <v>74</v>
      </c>
      <c r="B75">
        <v>221001717</v>
      </c>
      <c r="C75" t="s">
        <v>1281</v>
      </c>
      <c r="D75" t="s">
        <v>1324</v>
      </c>
      <c r="E75" t="s">
        <v>1325</v>
      </c>
      <c r="F75">
        <v>3.59</v>
      </c>
      <c r="G75">
        <v>98</v>
      </c>
      <c r="H75">
        <v>3.56</v>
      </c>
      <c r="I75">
        <v>98</v>
      </c>
      <c r="J75" t="e">
        <f>VLOOKUP(B75,'ALL Projects'!$A$2:$C529,2,0)</f>
        <v>#N/A</v>
      </c>
    </row>
    <row r="76" spans="1:10">
      <c r="A76">
        <v>75</v>
      </c>
      <c r="B76">
        <v>221001213</v>
      </c>
      <c r="C76" t="s">
        <v>1281</v>
      </c>
      <c r="D76" t="s">
        <v>1326</v>
      </c>
      <c r="E76" t="s">
        <v>1327</v>
      </c>
      <c r="F76">
        <v>3.46</v>
      </c>
      <c r="G76">
        <v>97</v>
      </c>
      <c r="H76">
        <v>3.45</v>
      </c>
      <c r="I76">
        <v>97</v>
      </c>
      <c r="J76" t="e">
        <f>VLOOKUP(B76,'ALL Projects'!$A$2:$C529,2,0)</f>
        <v>#N/A</v>
      </c>
    </row>
    <row r="77" spans="1:10">
      <c r="A77">
        <v>76</v>
      </c>
      <c r="B77">
        <v>221001923</v>
      </c>
      <c r="C77" t="s">
        <v>1281</v>
      </c>
      <c r="D77" t="s">
        <v>1328</v>
      </c>
      <c r="E77" t="s">
        <v>1329</v>
      </c>
      <c r="F77">
        <v>2.67</v>
      </c>
      <c r="G77">
        <v>97</v>
      </c>
      <c r="H77">
        <v>2.73</v>
      </c>
      <c r="I77">
        <v>97</v>
      </c>
      <c r="J77" t="e">
        <f>VLOOKUP(B77,'ALL Projects'!$A$2:$C529,2,0)</f>
        <v>#N/A</v>
      </c>
    </row>
    <row r="78" spans="1:10">
      <c r="A78">
        <v>77</v>
      </c>
      <c r="B78">
        <v>221001947</v>
      </c>
      <c r="C78" t="s">
        <v>1281</v>
      </c>
      <c r="D78" t="s">
        <v>1330</v>
      </c>
      <c r="E78" t="s">
        <v>1331</v>
      </c>
      <c r="F78">
        <v>3.31</v>
      </c>
      <c r="G78">
        <v>97</v>
      </c>
      <c r="H78">
        <v>3.31</v>
      </c>
      <c r="I78">
        <v>97</v>
      </c>
      <c r="J78" t="e">
        <f>VLOOKUP(B78,'ALL Projects'!$A$2:$C529,2,0)</f>
        <v>#N/A</v>
      </c>
    </row>
    <row r="79" spans="1:10">
      <c r="A79">
        <v>78</v>
      </c>
      <c r="B79">
        <v>221002200</v>
      </c>
      <c r="C79" t="s">
        <v>1281</v>
      </c>
      <c r="D79" t="s">
        <v>1332</v>
      </c>
      <c r="E79" t="s">
        <v>1333</v>
      </c>
      <c r="F79">
        <v>3.13</v>
      </c>
      <c r="G79">
        <v>97</v>
      </c>
      <c r="H79">
        <v>3.2</v>
      </c>
      <c r="I79">
        <v>97</v>
      </c>
      <c r="J79" t="e">
        <f>VLOOKUP(B79,'ALL Projects'!$A$2:$C529,2,0)</f>
        <v>#N/A</v>
      </c>
    </row>
    <row r="80" spans="1:10">
      <c r="A80">
        <v>79</v>
      </c>
      <c r="B80">
        <v>202001249</v>
      </c>
      <c r="C80" t="s">
        <v>1281</v>
      </c>
      <c r="D80" t="s">
        <v>1334</v>
      </c>
      <c r="E80" t="s">
        <v>1335</v>
      </c>
      <c r="F80">
        <v>2.29</v>
      </c>
      <c r="G80">
        <v>96</v>
      </c>
      <c r="H80">
        <v>2.3199999999999998</v>
      </c>
      <c r="I80">
        <v>82</v>
      </c>
      <c r="J80" t="e">
        <f>VLOOKUP(B80,'ALL Projects'!$A$2:$C532,2,0)</f>
        <v>#N/A</v>
      </c>
    </row>
    <row r="81" spans="1:10">
      <c r="A81">
        <v>80</v>
      </c>
      <c r="B81">
        <v>221001633</v>
      </c>
      <c r="C81" t="s">
        <v>1281</v>
      </c>
      <c r="D81" t="s">
        <v>1336</v>
      </c>
      <c r="E81" t="s">
        <v>1337</v>
      </c>
      <c r="F81">
        <v>3.55</v>
      </c>
      <c r="G81">
        <v>96</v>
      </c>
      <c r="H81">
        <v>3.6</v>
      </c>
      <c r="I81">
        <v>96</v>
      </c>
      <c r="J81" t="e">
        <f>VLOOKUP(B81,'ALL Projects'!$A$2:$C533,2,0)</f>
        <v>#N/A</v>
      </c>
    </row>
    <row r="82" spans="1:10">
      <c r="A82">
        <v>81</v>
      </c>
      <c r="B82">
        <v>221002092</v>
      </c>
      <c r="C82" t="s">
        <v>1281</v>
      </c>
      <c r="D82" t="s">
        <v>1338</v>
      </c>
      <c r="E82" t="s">
        <v>1339</v>
      </c>
      <c r="F82">
        <v>3.68</v>
      </c>
      <c r="G82">
        <v>96</v>
      </c>
      <c r="H82">
        <v>3.7</v>
      </c>
      <c r="I82">
        <v>96</v>
      </c>
      <c r="J82" t="e">
        <f>VLOOKUP(B82,'ALL Projects'!$A$2:$C534,2,0)</f>
        <v>#N/A</v>
      </c>
    </row>
    <row r="83" spans="1:10">
      <c r="A83">
        <v>82</v>
      </c>
      <c r="B83">
        <v>211001973</v>
      </c>
      <c r="C83" t="s">
        <v>1281</v>
      </c>
      <c r="D83" t="s">
        <v>1340</v>
      </c>
      <c r="E83" t="s">
        <v>1341</v>
      </c>
      <c r="F83">
        <v>2.21</v>
      </c>
      <c r="G83">
        <v>94</v>
      </c>
      <c r="H83">
        <v>2.29</v>
      </c>
      <c r="I83">
        <v>91</v>
      </c>
      <c r="J83" t="e">
        <f>VLOOKUP(B83,'ALL Projects'!$A$2:$C535,2,0)</f>
        <v>#N/A</v>
      </c>
    </row>
    <row r="84" spans="1:10">
      <c r="A84">
        <v>83</v>
      </c>
      <c r="B84">
        <v>221001244</v>
      </c>
      <c r="C84" t="s">
        <v>1281</v>
      </c>
      <c r="D84" t="s">
        <v>1342</v>
      </c>
      <c r="E84" t="s">
        <v>1343</v>
      </c>
      <c r="F84">
        <v>2.46</v>
      </c>
      <c r="G84">
        <v>87</v>
      </c>
      <c r="H84">
        <v>2.52</v>
      </c>
      <c r="I84">
        <v>87</v>
      </c>
      <c r="J84" t="e">
        <f>VLOOKUP(B84,'ALL Projects'!$A$2:$C536,2,0)</f>
        <v>#N/A</v>
      </c>
    </row>
    <row r="85" spans="1:10">
      <c r="A85">
        <v>84</v>
      </c>
      <c r="B85">
        <v>202001870</v>
      </c>
      <c r="C85" t="s">
        <v>1281</v>
      </c>
      <c r="D85" t="s">
        <v>1344</v>
      </c>
      <c r="E85" t="s">
        <v>1345</v>
      </c>
      <c r="F85">
        <v>1.87</v>
      </c>
      <c r="G85">
        <v>85</v>
      </c>
      <c r="H85">
        <v>1.92</v>
      </c>
      <c r="I85">
        <v>85</v>
      </c>
      <c r="J85" t="e">
        <f>VLOOKUP(B85,'ALL Projects'!$A$2:$C537,2,0)</f>
        <v>#N/A</v>
      </c>
    </row>
    <row r="86" spans="1:10">
      <c r="A86">
        <v>85</v>
      </c>
      <c r="B86">
        <v>19105040</v>
      </c>
      <c r="C86" t="s">
        <v>1281</v>
      </c>
      <c r="D86" t="s">
        <v>1346</v>
      </c>
      <c r="E86" t="s">
        <v>1347</v>
      </c>
      <c r="F86">
        <v>3.73</v>
      </c>
      <c r="G86">
        <v>77</v>
      </c>
      <c r="H86">
        <v>3.67</v>
      </c>
      <c r="I86">
        <v>71</v>
      </c>
      <c r="J86" t="e">
        <f>VLOOKUP(B86,'ALL Projects'!$A$2:$C538,2,0)</f>
        <v>#N/A</v>
      </c>
    </row>
    <row r="87" spans="1:10">
      <c r="A87">
        <v>86</v>
      </c>
      <c r="B87">
        <v>221000307</v>
      </c>
      <c r="C87" t="s">
        <v>1348</v>
      </c>
      <c r="D87" t="s">
        <v>1349</v>
      </c>
      <c r="E87" t="s">
        <v>1350</v>
      </c>
      <c r="F87">
        <v>3.48</v>
      </c>
      <c r="G87">
        <v>122</v>
      </c>
      <c r="J87" t="e">
        <f>VLOOKUP(B87,'ALL Projects'!$A$2:$C539,2,0)</f>
        <v>#N/A</v>
      </c>
    </row>
    <row r="88" spans="1:10">
      <c r="A88">
        <v>87</v>
      </c>
      <c r="B88">
        <v>221000020</v>
      </c>
      <c r="C88" t="s">
        <v>1348</v>
      </c>
      <c r="D88" t="s">
        <v>1351</v>
      </c>
      <c r="E88" t="s">
        <v>1352</v>
      </c>
      <c r="F88">
        <v>3.53</v>
      </c>
      <c r="G88">
        <v>119</v>
      </c>
      <c r="J88" t="e">
        <f>VLOOKUP(B88,'ALL Projects'!$A$2:$C540,2,0)</f>
        <v>#N/A</v>
      </c>
    </row>
    <row r="89" spans="1:10">
      <c r="A89">
        <v>88</v>
      </c>
      <c r="B89">
        <v>221001636</v>
      </c>
      <c r="C89" t="s">
        <v>1348</v>
      </c>
      <c r="D89" t="s">
        <v>1353</v>
      </c>
      <c r="E89" t="s">
        <v>1354</v>
      </c>
      <c r="F89">
        <v>2.9</v>
      </c>
      <c r="G89">
        <v>117</v>
      </c>
      <c r="J89" t="e">
        <f>VLOOKUP(B89,'ALL Projects'!$A$2:$C541,2,0)</f>
        <v>#N/A</v>
      </c>
    </row>
    <row r="90" spans="1:10">
      <c r="A90">
        <v>89</v>
      </c>
      <c r="B90">
        <v>212002434</v>
      </c>
      <c r="C90" t="s">
        <v>1348</v>
      </c>
      <c r="D90" t="s">
        <v>1355</v>
      </c>
      <c r="E90" t="s">
        <v>1356</v>
      </c>
      <c r="F90">
        <v>3.81</v>
      </c>
      <c r="G90">
        <v>116</v>
      </c>
      <c r="J90" t="e">
        <f>VLOOKUP(B90,'ALL Projects'!$A$2:$C542,2,0)</f>
        <v>#N/A</v>
      </c>
    </row>
    <row r="91" spans="1:10">
      <c r="A91">
        <v>90</v>
      </c>
      <c r="B91">
        <v>221000214</v>
      </c>
      <c r="C91" t="s">
        <v>1348</v>
      </c>
      <c r="D91" t="s">
        <v>1357</v>
      </c>
      <c r="E91" t="s">
        <v>1358</v>
      </c>
      <c r="F91">
        <v>3.97</v>
      </c>
      <c r="G91">
        <v>116</v>
      </c>
      <c r="J91" t="e">
        <f>VLOOKUP(B91,'ALL Projects'!$A$2:$C543,2,0)</f>
        <v>#N/A</v>
      </c>
    </row>
    <row r="92" spans="1:10">
      <c r="A92">
        <v>91</v>
      </c>
      <c r="B92">
        <v>221000600</v>
      </c>
      <c r="C92" t="s">
        <v>1348</v>
      </c>
      <c r="D92" t="s">
        <v>1359</v>
      </c>
      <c r="E92" t="s">
        <v>1360</v>
      </c>
      <c r="F92">
        <v>2.99</v>
      </c>
      <c r="G92">
        <v>114</v>
      </c>
      <c r="J92" t="e">
        <f>VLOOKUP(B92,'ALL Projects'!$A$2:$C544,2,0)</f>
        <v>#N/A</v>
      </c>
    </row>
    <row r="93" spans="1:10">
      <c r="A93">
        <v>92</v>
      </c>
      <c r="B93">
        <v>221000923</v>
      </c>
      <c r="C93" t="s">
        <v>1348</v>
      </c>
      <c r="D93" t="s">
        <v>1361</v>
      </c>
      <c r="E93" t="s">
        <v>1362</v>
      </c>
      <c r="F93">
        <v>3.66</v>
      </c>
      <c r="G93">
        <v>114</v>
      </c>
      <c r="J93" t="e">
        <f>VLOOKUP(B93,'ALL Projects'!$A$2:$C545,2,0)</f>
        <v>#N/A</v>
      </c>
    </row>
    <row r="94" spans="1:10">
      <c r="A94">
        <v>93</v>
      </c>
      <c r="B94">
        <v>221001480</v>
      </c>
      <c r="C94" t="s">
        <v>1348</v>
      </c>
      <c r="D94" t="s">
        <v>1363</v>
      </c>
      <c r="E94" t="s">
        <v>1364</v>
      </c>
      <c r="F94">
        <v>3.39</v>
      </c>
      <c r="G94">
        <v>114</v>
      </c>
      <c r="J94" t="e">
        <f>VLOOKUP(B94,'ALL Projects'!$A$2:$C546,2,0)</f>
        <v>#N/A</v>
      </c>
    </row>
    <row r="95" spans="1:10">
      <c r="A95">
        <v>94</v>
      </c>
      <c r="B95">
        <v>211002026</v>
      </c>
      <c r="C95" t="s">
        <v>1348</v>
      </c>
      <c r="D95" t="s">
        <v>1365</v>
      </c>
      <c r="E95" t="s">
        <v>1366</v>
      </c>
      <c r="F95">
        <v>2.79</v>
      </c>
      <c r="G95">
        <v>113</v>
      </c>
      <c r="J95" t="e">
        <f>VLOOKUP(B95,'ALL Projects'!$A$2:$C547,2,0)</f>
        <v>#N/A</v>
      </c>
    </row>
    <row r="96" spans="1:10">
      <c r="A96">
        <v>95</v>
      </c>
      <c r="B96">
        <v>221000090</v>
      </c>
      <c r="C96" t="s">
        <v>1348</v>
      </c>
      <c r="D96" t="s">
        <v>1367</v>
      </c>
      <c r="E96" t="s">
        <v>1368</v>
      </c>
      <c r="F96">
        <v>3.74</v>
      </c>
      <c r="G96">
        <v>111</v>
      </c>
      <c r="J96" t="e">
        <f>VLOOKUP(B96,'ALL Projects'!$A$2:$C548,2,0)</f>
        <v>#N/A</v>
      </c>
    </row>
    <row r="97" spans="1:10">
      <c r="A97">
        <v>96</v>
      </c>
      <c r="B97">
        <v>221000189</v>
      </c>
      <c r="C97" t="s">
        <v>1348</v>
      </c>
      <c r="D97" t="s">
        <v>1369</v>
      </c>
      <c r="E97" t="s">
        <v>1370</v>
      </c>
      <c r="F97">
        <v>3.68</v>
      </c>
      <c r="G97">
        <v>111</v>
      </c>
      <c r="J97" t="e">
        <f>VLOOKUP(B97,'ALL Projects'!$A$2:$C549,2,0)</f>
        <v>#N/A</v>
      </c>
    </row>
    <row r="98" spans="1:10">
      <c r="A98">
        <v>97</v>
      </c>
      <c r="B98">
        <v>221000322</v>
      </c>
      <c r="C98" t="s">
        <v>1348</v>
      </c>
      <c r="D98" t="s">
        <v>1371</v>
      </c>
      <c r="E98" t="s">
        <v>1372</v>
      </c>
      <c r="F98">
        <v>3.18</v>
      </c>
      <c r="G98">
        <v>111</v>
      </c>
      <c r="J98" t="e">
        <f>VLOOKUP(B98,'ALL Projects'!$A$2:$C550,2,0)</f>
        <v>#N/A</v>
      </c>
    </row>
    <row r="99" spans="1:10">
      <c r="A99">
        <v>98</v>
      </c>
      <c r="B99">
        <v>221000407</v>
      </c>
      <c r="C99" t="s">
        <v>1348</v>
      </c>
      <c r="D99" t="s">
        <v>1373</v>
      </c>
      <c r="E99" t="s">
        <v>1374</v>
      </c>
      <c r="F99">
        <v>3.96</v>
      </c>
      <c r="G99">
        <v>111</v>
      </c>
      <c r="J99" t="e">
        <f>VLOOKUP(B99,'ALL Projects'!$A$2:$C551,2,0)</f>
        <v>#N/A</v>
      </c>
    </row>
    <row r="100" spans="1:10">
      <c r="A100">
        <v>99</v>
      </c>
      <c r="B100">
        <v>221000800</v>
      </c>
      <c r="C100" t="s">
        <v>1348</v>
      </c>
      <c r="D100" t="s">
        <v>1375</v>
      </c>
      <c r="E100" t="s">
        <v>1376</v>
      </c>
      <c r="F100">
        <v>2.96</v>
      </c>
      <c r="G100">
        <v>111</v>
      </c>
      <c r="J100" t="e">
        <f>VLOOKUP(B100,'ALL Projects'!$A$2:$C552,2,0)</f>
        <v>#N/A</v>
      </c>
    </row>
    <row r="101" spans="1:10">
      <c r="A101">
        <v>100</v>
      </c>
      <c r="B101">
        <v>221000806</v>
      </c>
      <c r="C101" t="s">
        <v>1348</v>
      </c>
      <c r="D101" t="s">
        <v>1377</v>
      </c>
      <c r="E101" t="s">
        <v>1378</v>
      </c>
      <c r="F101">
        <v>3.9</v>
      </c>
      <c r="G101">
        <v>111</v>
      </c>
      <c r="J101" t="e">
        <f>VLOOKUP(B101,'ALL Projects'!$A$2:$C553,2,0)</f>
        <v>#N/A</v>
      </c>
    </row>
    <row r="102" spans="1:10">
      <c r="A102">
        <v>101</v>
      </c>
      <c r="B102">
        <v>221000919</v>
      </c>
      <c r="C102" t="s">
        <v>1348</v>
      </c>
      <c r="D102" t="s">
        <v>1379</v>
      </c>
      <c r="E102" t="s">
        <v>1380</v>
      </c>
      <c r="F102">
        <v>3.23</v>
      </c>
      <c r="G102">
        <v>111</v>
      </c>
      <c r="J102" t="e">
        <f>VLOOKUP(B102,'ALL Projects'!$A$2:$C554,2,0)</f>
        <v>#N/A</v>
      </c>
    </row>
    <row r="103" spans="1:10">
      <c r="A103">
        <v>102</v>
      </c>
      <c r="B103">
        <v>221000991</v>
      </c>
      <c r="C103" t="s">
        <v>1348</v>
      </c>
      <c r="D103" t="s">
        <v>1381</v>
      </c>
      <c r="E103" t="s">
        <v>1382</v>
      </c>
      <c r="F103">
        <v>3.13</v>
      </c>
      <c r="G103">
        <v>111</v>
      </c>
      <c r="J103" t="e">
        <f>VLOOKUP(B103,'ALL Projects'!$A$2:$C555,2,0)</f>
        <v>#N/A</v>
      </c>
    </row>
    <row r="104" spans="1:10">
      <c r="A104">
        <v>103</v>
      </c>
      <c r="B104">
        <v>221001008</v>
      </c>
      <c r="C104" t="s">
        <v>1348</v>
      </c>
      <c r="D104" t="s">
        <v>1383</v>
      </c>
      <c r="E104" t="s">
        <v>1384</v>
      </c>
      <c r="F104">
        <v>4</v>
      </c>
      <c r="G104">
        <v>111</v>
      </c>
      <c r="J104" t="e">
        <f>VLOOKUP(B104,'ALL Projects'!$A$2:$C556,2,0)</f>
        <v>#N/A</v>
      </c>
    </row>
    <row r="105" spans="1:10">
      <c r="A105">
        <v>104</v>
      </c>
      <c r="B105">
        <v>221001268</v>
      </c>
      <c r="C105" t="s">
        <v>1348</v>
      </c>
      <c r="D105" t="s">
        <v>1385</v>
      </c>
      <c r="E105" t="s">
        <v>1386</v>
      </c>
      <c r="F105">
        <v>3.45</v>
      </c>
      <c r="G105">
        <v>111</v>
      </c>
      <c r="J105" t="e">
        <f>VLOOKUP(B105,'ALL Projects'!$A$2:$C557,2,0)</f>
        <v>#N/A</v>
      </c>
    </row>
    <row r="106" spans="1:10">
      <c r="A106">
        <v>105</v>
      </c>
      <c r="B106">
        <v>221001541</v>
      </c>
      <c r="C106" t="s">
        <v>1348</v>
      </c>
      <c r="D106" t="s">
        <v>1387</v>
      </c>
      <c r="E106" t="s">
        <v>1388</v>
      </c>
      <c r="F106">
        <v>3.58</v>
      </c>
      <c r="G106">
        <v>111</v>
      </c>
      <c r="J106" t="e">
        <f>VLOOKUP(B106,'ALL Projects'!$A$2:$C558,2,0)</f>
        <v>#N/A</v>
      </c>
    </row>
    <row r="107" spans="1:10">
      <c r="A107">
        <v>106</v>
      </c>
      <c r="B107">
        <v>221001772</v>
      </c>
      <c r="C107" t="s">
        <v>1348</v>
      </c>
      <c r="D107" t="s">
        <v>1389</v>
      </c>
      <c r="E107" t="s">
        <v>1390</v>
      </c>
      <c r="F107">
        <v>3.56</v>
      </c>
      <c r="G107">
        <v>111</v>
      </c>
      <c r="J107" t="e">
        <f>VLOOKUP(B107,'ALL Projects'!$A$2:$C559,2,0)</f>
        <v>#N/A</v>
      </c>
    </row>
    <row r="108" spans="1:10">
      <c r="A108">
        <v>107</v>
      </c>
      <c r="B108">
        <v>221000663</v>
      </c>
      <c r="C108" t="s">
        <v>1348</v>
      </c>
      <c r="D108" t="s">
        <v>1391</v>
      </c>
      <c r="E108" t="s">
        <v>1392</v>
      </c>
      <c r="F108">
        <v>3.89</v>
      </c>
      <c r="G108">
        <v>110</v>
      </c>
      <c r="J108" t="e">
        <f>VLOOKUP(B108,'ALL Projects'!$A$2:$C560,2,0)</f>
        <v>#N/A</v>
      </c>
    </row>
    <row r="109" spans="1:10">
      <c r="A109">
        <v>108</v>
      </c>
      <c r="B109">
        <v>221001461</v>
      </c>
      <c r="C109" t="s">
        <v>1348</v>
      </c>
      <c r="D109" t="s">
        <v>1393</v>
      </c>
      <c r="E109" t="s">
        <v>1394</v>
      </c>
      <c r="F109">
        <v>3.93</v>
      </c>
      <c r="G109">
        <v>110</v>
      </c>
      <c r="J109" t="e">
        <f>VLOOKUP(B109,'ALL Projects'!$A$2:$C561,2,0)</f>
        <v>#N/A</v>
      </c>
    </row>
    <row r="110" spans="1:10">
      <c r="A110">
        <v>109</v>
      </c>
      <c r="B110">
        <v>221001697</v>
      </c>
      <c r="C110" t="s">
        <v>1348</v>
      </c>
      <c r="D110" t="s">
        <v>1395</v>
      </c>
      <c r="E110" t="s">
        <v>1396</v>
      </c>
      <c r="F110">
        <v>4</v>
      </c>
      <c r="G110">
        <v>110</v>
      </c>
      <c r="J110" t="e">
        <f>VLOOKUP(B110,'ALL Projects'!$A$2:$C561,2,0)</f>
        <v>#N/A</v>
      </c>
    </row>
    <row r="111" spans="1:10">
      <c r="A111">
        <v>110</v>
      </c>
      <c r="B111">
        <v>221001732</v>
      </c>
      <c r="C111" t="s">
        <v>1348</v>
      </c>
      <c r="D111" t="s">
        <v>1397</v>
      </c>
      <c r="E111" t="s">
        <v>1398</v>
      </c>
      <c r="F111">
        <v>3.69</v>
      </c>
      <c r="G111">
        <v>110</v>
      </c>
      <c r="J111" t="e">
        <f>VLOOKUP(B111,'ALL Projects'!$A$2:$C570,2,0)</f>
        <v>#N/A</v>
      </c>
    </row>
    <row r="112" spans="1:10">
      <c r="A112">
        <v>111</v>
      </c>
      <c r="B112">
        <v>221001869</v>
      </c>
      <c r="C112" t="s">
        <v>1348</v>
      </c>
      <c r="D112" t="s">
        <v>1399</v>
      </c>
      <c r="E112" t="s">
        <v>1400</v>
      </c>
      <c r="F112">
        <v>3.28</v>
      </c>
      <c r="G112">
        <v>110</v>
      </c>
      <c r="J112" t="e">
        <f>VLOOKUP(B112,'ALL Projects'!$A$2:$C561,2,0)</f>
        <v>#N/A</v>
      </c>
    </row>
    <row r="113" spans="1:10">
      <c r="A113">
        <v>112</v>
      </c>
      <c r="B113">
        <v>221001937</v>
      </c>
      <c r="C113" t="s">
        <v>1348</v>
      </c>
      <c r="D113" t="s">
        <v>1401</v>
      </c>
      <c r="E113" t="s">
        <v>1402</v>
      </c>
      <c r="F113">
        <v>3.75</v>
      </c>
      <c r="G113">
        <v>110</v>
      </c>
      <c r="J113" t="e">
        <f>VLOOKUP(B113,'ALL Projects'!$A$2:$C561,2,0)</f>
        <v>#N/A</v>
      </c>
    </row>
    <row r="114" spans="1:10">
      <c r="A114">
        <v>113</v>
      </c>
      <c r="B114">
        <v>221000765</v>
      </c>
      <c r="C114" t="s">
        <v>1348</v>
      </c>
      <c r="D114" t="s">
        <v>1403</v>
      </c>
      <c r="E114" t="s">
        <v>1404</v>
      </c>
      <c r="F114">
        <v>2.3199999999999998</v>
      </c>
      <c r="G114">
        <v>109</v>
      </c>
      <c r="J114" t="e">
        <f>VLOOKUP(B114,'ALL Projects'!$A$2:$C570,2,0)</f>
        <v>#N/A</v>
      </c>
    </row>
    <row r="115" spans="1:10">
      <c r="A115">
        <v>114</v>
      </c>
      <c r="B115">
        <v>221001269</v>
      </c>
      <c r="C115" t="s">
        <v>1348</v>
      </c>
      <c r="D115" t="s">
        <v>1405</v>
      </c>
      <c r="E115" t="s">
        <v>1406</v>
      </c>
      <c r="F115">
        <v>3.65</v>
      </c>
      <c r="G115">
        <v>109</v>
      </c>
      <c r="J115" t="e">
        <f>VLOOKUP(B115,'ALL Projects'!$A$2:$C564,2,0)</f>
        <v>#N/A</v>
      </c>
    </row>
    <row r="116" spans="1:10">
      <c r="A116">
        <v>115</v>
      </c>
      <c r="B116">
        <v>221001623</v>
      </c>
      <c r="C116" t="s">
        <v>1348</v>
      </c>
      <c r="D116" t="s">
        <v>1407</v>
      </c>
      <c r="E116" t="s">
        <v>1408</v>
      </c>
      <c r="F116">
        <v>3.92</v>
      </c>
      <c r="G116">
        <v>109</v>
      </c>
      <c r="J116" t="e">
        <f>VLOOKUP(B116,'ALL Projects'!$A$2:$C565,2,0)</f>
        <v>#N/A</v>
      </c>
    </row>
    <row r="117" spans="1:10">
      <c r="A117">
        <v>116</v>
      </c>
      <c r="B117">
        <v>221001692</v>
      </c>
      <c r="C117" t="s">
        <v>1348</v>
      </c>
      <c r="D117" t="s">
        <v>1409</v>
      </c>
      <c r="E117" t="s">
        <v>1410</v>
      </c>
      <c r="F117">
        <v>3.76</v>
      </c>
      <c r="G117">
        <v>109</v>
      </c>
      <c r="J117" t="e">
        <f>VLOOKUP(B117,'ALL Projects'!$A$2:$C566,2,0)</f>
        <v>#N/A</v>
      </c>
    </row>
    <row r="118" spans="1:10">
      <c r="A118">
        <v>117</v>
      </c>
      <c r="B118">
        <v>221000056</v>
      </c>
      <c r="C118" t="s">
        <v>1348</v>
      </c>
      <c r="D118" t="s">
        <v>1411</v>
      </c>
      <c r="E118" t="s">
        <v>1412</v>
      </c>
      <c r="F118">
        <v>3.95</v>
      </c>
      <c r="G118">
        <v>108</v>
      </c>
      <c r="J118" t="e">
        <f>VLOOKUP(B118,'ALL Projects'!$A$2:$C567,2,0)</f>
        <v>#N/A</v>
      </c>
    </row>
    <row r="119" spans="1:10">
      <c r="A119">
        <v>118</v>
      </c>
      <c r="B119">
        <v>221000362</v>
      </c>
      <c r="C119" t="s">
        <v>1348</v>
      </c>
      <c r="D119" t="s">
        <v>1413</v>
      </c>
      <c r="E119" t="s">
        <v>1414</v>
      </c>
      <c r="F119">
        <v>3.06</v>
      </c>
      <c r="G119">
        <v>108</v>
      </c>
      <c r="J119" t="e">
        <f>VLOOKUP(B119,'ALL Projects'!$A$2:$C568,2,0)</f>
        <v>#N/A</v>
      </c>
    </row>
    <row r="120" spans="1:10">
      <c r="A120">
        <v>119</v>
      </c>
      <c r="B120">
        <v>221000495</v>
      </c>
      <c r="C120" t="s">
        <v>1348</v>
      </c>
      <c r="D120" t="s">
        <v>1415</v>
      </c>
      <c r="E120" t="s">
        <v>1416</v>
      </c>
      <c r="F120">
        <v>3.83</v>
      </c>
      <c r="G120">
        <v>108</v>
      </c>
      <c r="J120" t="e">
        <f>VLOOKUP(B120,'ALL Projects'!$A$2:$C569,2,0)</f>
        <v>#N/A</v>
      </c>
    </row>
    <row r="121" spans="1:10">
      <c r="A121">
        <v>120</v>
      </c>
      <c r="B121">
        <v>221000544</v>
      </c>
      <c r="C121" t="s">
        <v>1348</v>
      </c>
      <c r="D121" t="s">
        <v>1417</v>
      </c>
      <c r="E121" t="s">
        <v>1418</v>
      </c>
      <c r="F121">
        <v>3.64</v>
      </c>
      <c r="G121">
        <v>108</v>
      </c>
      <c r="J121" t="e">
        <f>VLOOKUP(B121,'ALL Projects'!$A$2:$C570,2,0)</f>
        <v>#N/A</v>
      </c>
    </row>
    <row r="122" spans="1:10">
      <c r="A122">
        <v>121</v>
      </c>
      <c r="B122">
        <v>221000579</v>
      </c>
      <c r="C122" t="s">
        <v>1348</v>
      </c>
      <c r="D122" t="s">
        <v>1419</v>
      </c>
      <c r="E122" t="s">
        <v>1420</v>
      </c>
      <c r="F122">
        <v>3.85</v>
      </c>
      <c r="G122">
        <v>108</v>
      </c>
      <c r="J122" t="e">
        <f>VLOOKUP(B122,'ALL Projects'!$A$2:$C570,2,0)</f>
        <v>#N/A</v>
      </c>
    </row>
    <row r="123" spans="1:10">
      <c r="A123">
        <v>122</v>
      </c>
      <c r="B123">
        <v>221000610</v>
      </c>
      <c r="C123" t="s">
        <v>1348</v>
      </c>
      <c r="D123" t="s">
        <v>1421</v>
      </c>
      <c r="E123" t="s">
        <v>1422</v>
      </c>
      <c r="F123">
        <v>2.34</v>
      </c>
      <c r="G123">
        <v>108</v>
      </c>
      <c r="J123" t="e">
        <f>VLOOKUP(B123,'ALL Projects'!$A$2:$C572,2,0)</f>
        <v>#N/A</v>
      </c>
    </row>
    <row r="124" spans="1:10">
      <c r="A124">
        <v>123</v>
      </c>
      <c r="B124">
        <v>221000674</v>
      </c>
      <c r="C124" t="s">
        <v>1348</v>
      </c>
      <c r="D124" t="s">
        <v>1423</v>
      </c>
      <c r="E124" t="s">
        <v>1424</v>
      </c>
      <c r="F124">
        <v>2.92</v>
      </c>
      <c r="G124">
        <v>108</v>
      </c>
      <c r="J124" t="e">
        <f>VLOOKUP(B124,'ALL Projects'!$A$2:$C573,2,0)</f>
        <v>#N/A</v>
      </c>
    </row>
    <row r="125" spans="1:10">
      <c r="A125">
        <v>124</v>
      </c>
      <c r="B125">
        <v>221000738</v>
      </c>
      <c r="C125" t="s">
        <v>1348</v>
      </c>
      <c r="D125" t="s">
        <v>1425</v>
      </c>
      <c r="E125" t="s">
        <v>1426</v>
      </c>
      <c r="F125">
        <v>3.37</v>
      </c>
      <c r="G125">
        <v>108</v>
      </c>
      <c r="J125" t="e">
        <f>VLOOKUP(B125,'ALL Projects'!$A$2:$C574,2,0)</f>
        <v>#N/A</v>
      </c>
    </row>
    <row r="126" spans="1:10">
      <c r="A126">
        <v>125</v>
      </c>
      <c r="B126">
        <v>221000767</v>
      </c>
      <c r="C126" t="s">
        <v>1348</v>
      </c>
      <c r="D126" t="s">
        <v>1427</v>
      </c>
      <c r="E126" t="s">
        <v>1428</v>
      </c>
      <c r="F126">
        <v>3.42</v>
      </c>
      <c r="G126">
        <v>108</v>
      </c>
      <c r="J126" t="e">
        <f>VLOOKUP(B126,'ALL Projects'!$A$2:$C575,2,0)</f>
        <v>#N/A</v>
      </c>
    </row>
    <row r="127" spans="1:10">
      <c r="A127">
        <v>126</v>
      </c>
      <c r="B127">
        <v>221000829</v>
      </c>
      <c r="C127" t="s">
        <v>1348</v>
      </c>
      <c r="D127" t="s">
        <v>1429</v>
      </c>
      <c r="E127" t="s">
        <v>1430</v>
      </c>
      <c r="F127">
        <v>3.93</v>
      </c>
      <c r="G127">
        <v>108</v>
      </c>
      <c r="J127" t="e">
        <f>VLOOKUP(B127,'ALL Projects'!$A$2:$C576,2,0)</f>
        <v>#N/A</v>
      </c>
    </row>
    <row r="128" spans="1:10">
      <c r="A128">
        <v>127</v>
      </c>
      <c r="B128">
        <v>221000846</v>
      </c>
      <c r="C128" t="s">
        <v>1348</v>
      </c>
      <c r="D128" t="s">
        <v>1431</v>
      </c>
      <c r="E128" t="s">
        <v>1432</v>
      </c>
      <c r="F128">
        <v>3.85</v>
      </c>
      <c r="G128">
        <v>108</v>
      </c>
      <c r="J128" t="e">
        <f>VLOOKUP(B128,'ALL Projects'!$A$2:$C577,2,0)</f>
        <v>#N/A</v>
      </c>
    </row>
    <row r="129" spans="1:10">
      <c r="A129">
        <v>128</v>
      </c>
      <c r="B129">
        <v>221000915</v>
      </c>
      <c r="C129" t="s">
        <v>1348</v>
      </c>
      <c r="D129" t="s">
        <v>1433</v>
      </c>
      <c r="E129" t="s">
        <v>1434</v>
      </c>
      <c r="F129">
        <v>3.61</v>
      </c>
      <c r="G129">
        <v>108</v>
      </c>
      <c r="J129" t="e">
        <f>VLOOKUP(B129,'ALL Projects'!$A$2:$C578,2,0)</f>
        <v>#N/A</v>
      </c>
    </row>
    <row r="130" spans="1:10">
      <c r="A130">
        <v>129</v>
      </c>
      <c r="B130">
        <v>221000931</v>
      </c>
      <c r="C130" t="s">
        <v>1348</v>
      </c>
      <c r="D130" t="s">
        <v>1435</v>
      </c>
      <c r="E130" t="s">
        <v>1436</v>
      </c>
      <c r="F130">
        <v>3.36</v>
      </c>
      <c r="G130">
        <v>108</v>
      </c>
      <c r="J130" t="e">
        <f>VLOOKUP(B130,'ALL Projects'!$A$2:$C579,2,0)</f>
        <v>#N/A</v>
      </c>
    </row>
    <row r="131" spans="1:10">
      <c r="A131">
        <v>130</v>
      </c>
      <c r="B131">
        <v>221000948</v>
      </c>
      <c r="C131" t="s">
        <v>1348</v>
      </c>
      <c r="D131" t="s">
        <v>1437</v>
      </c>
      <c r="E131" t="s">
        <v>1438</v>
      </c>
      <c r="F131">
        <v>2.58</v>
      </c>
      <c r="G131">
        <v>108</v>
      </c>
      <c r="J131" t="e">
        <f>VLOOKUP(B131,'ALL Projects'!$A$2:$C580,2,0)</f>
        <v>#N/A</v>
      </c>
    </row>
    <row r="132" spans="1:10">
      <c r="A132">
        <v>131</v>
      </c>
      <c r="B132">
        <v>221001024</v>
      </c>
      <c r="C132" t="s">
        <v>1348</v>
      </c>
      <c r="D132" t="s">
        <v>1439</v>
      </c>
      <c r="E132" t="s">
        <v>1440</v>
      </c>
      <c r="F132">
        <v>3.98</v>
      </c>
      <c r="G132">
        <v>108</v>
      </c>
      <c r="J132" t="e">
        <f>VLOOKUP(B132,'ALL Projects'!$A$2:$C581,2,0)</f>
        <v>#N/A</v>
      </c>
    </row>
    <row r="133" spans="1:10">
      <c r="A133">
        <v>132</v>
      </c>
      <c r="B133">
        <v>221001028</v>
      </c>
      <c r="C133" t="s">
        <v>1348</v>
      </c>
      <c r="D133" t="s">
        <v>1441</v>
      </c>
      <c r="E133" t="s">
        <v>1442</v>
      </c>
      <c r="F133">
        <v>3.75</v>
      </c>
      <c r="G133">
        <v>108</v>
      </c>
      <c r="J133" t="e">
        <f>VLOOKUP(B133,'ALL Projects'!$A$2:$C582,2,0)</f>
        <v>#N/A</v>
      </c>
    </row>
    <row r="134" spans="1:10">
      <c r="A134">
        <v>133</v>
      </c>
      <c r="B134">
        <v>221001221</v>
      </c>
      <c r="C134" t="s">
        <v>1348</v>
      </c>
      <c r="D134" t="s">
        <v>1443</v>
      </c>
      <c r="E134" t="s">
        <v>1444</v>
      </c>
      <c r="F134">
        <v>3.04</v>
      </c>
      <c r="G134">
        <v>108</v>
      </c>
      <c r="J134" t="e">
        <f>VLOOKUP(B134,'ALL Projects'!$A$2:$C583,2,0)</f>
        <v>#N/A</v>
      </c>
    </row>
    <row r="135" spans="1:10">
      <c r="A135">
        <v>134</v>
      </c>
      <c r="B135">
        <v>221001354</v>
      </c>
      <c r="C135" t="s">
        <v>1348</v>
      </c>
      <c r="D135" t="s">
        <v>1445</v>
      </c>
      <c r="E135" t="s">
        <v>1446</v>
      </c>
      <c r="F135">
        <v>3.91</v>
      </c>
      <c r="G135">
        <v>108</v>
      </c>
      <c r="J135" t="e">
        <f>VLOOKUP(B135,'ALL Projects'!$A$2:$C584,2,0)</f>
        <v>#N/A</v>
      </c>
    </row>
    <row r="136" spans="1:10">
      <c r="A136">
        <v>135</v>
      </c>
      <c r="B136">
        <v>221001355</v>
      </c>
      <c r="C136" t="s">
        <v>1348</v>
      </c>
      <c r="D136" t="s">
        <v>1447</v>
      </c>
      <c r="E136" t="s">
        <v>1448</v>
      </c>
      <c r="F136">
        <v>3.16</v>
      </c>
      <c r="G136">
        <v>108</v>
      </c>
      <c r="J136" t="e">
        <f>VLOOKUP(B136,'ALL Projects'!$A$2:$C585,2,0)</f>
        <v>#N/A</v>
      </c>
    </row>
    <row r="137" spans="1:10">
      <c r="A137">
        <v>136</v>
      </c>
      <c r="B137">
        <v>221001443</v>
      </c>
      <c r="C137" t="s">
        <v>1348</v>
      </c>
      <c r="D137" t="s">
        <v>1449</v>
      </c>
      <c r="E137" t="s">
        <v>1450</v>
      </c>
      <c r="F137">
        <v>4</v>
      </c>
      <c r="G137">
        <v>108</v>
      </c>
      <c r="J137" t="e">
        <f>VLOOKUP(B137,'ALL Projects'!$A$2:$C586,2,0)</f>
        <v>#N/A</v>
      </c>
    </row>
    <row r="138" spans="1:10">
      <c r="A138">
        <v>137</v>
      </c>
      <c r="B138">
        <v>221001489</v>
      </c>
      <c r="C138" t="s">
        <v>1348</v>
      </c>
      <c r="D138" t="s">
        <v>1451</v>
      </c>
      <c r="E138" t="s">
        <v>1452</v>
      </c>
      <c r="F138">
        <v>3.37</v>
      </c>
      <c r="G138">
        <v>108</v>
      </c>
      <c r="J138" t="e">
        <f>VLOOKUP(B138,'ALL Projects'!$A$2:$C587,2,0)</f>
        <v>#N/A</v>
      </c>
    </row>
    <row r="139" spans="1:10">
      <c r="A139">
        <v>138</v>
      </c>
      <c r="B139">
        <v>221001519</v>
      </c>
      <c r="C139" t="s">
        <v>1348</v>
      </c>
      <c r="D139" t="s">
        <v>1453</v>
      </c>
      <c r="E139" t="s">
        <v>1454</v>
      </c>
      <c r="F139">
        <v>3.99</v>
      </c>
      <c r="G139">
        <v>108</v>
      </c>
      <c r="J139" t="e">
        <f>VLOOKUP(B139,'ALL Projects'!$A$2:$C588,2,0)</f>
        <v>#N/A</v>
      </c>
    </row>
    <row r="140" spans="1:10">
      <c r="A140">
        <v>139</v>
      </c>
      <c r="B140">
        <v>221001562</v>
      </c>
      <c r="C140" t="s">
        <v>1348</v>
      </c>
      <c r="D140" t="s">
        <v>1455</v>
      </c>
      <c r="E140" t="s">
        <v>1456</v>
      </c>
      <c r="F140">
        <v>3.44</v>
      </c>
      <c r="G140">
        <v>108</v>
      </c>
      <c r="J140" t="e">
        <f>VLOOKUP(B140,'ALL Projects'!$A$2:$C589,2,0)</f>
        <v>#N/A</v>
      </c>
    </row>
    <row r="141" spans="1:10">
      <c r="A141">
        <v>140</v>
      </c>
      <c r="B141">
        <v>221001641</v>
      </c>
      <c r="C141" t="s">
        <v>1348</v>
      </c>
      <c r="D141" t="s">
        <v>1457</v>
      </c>
      <c r="E141" t="s">
        <v>1458</v>
      </c>
      <c r="F141">
        <v>2.9</v>
      </c>
      <c r="G141">
        <v>108</v>
      </c>
      <c r="J141" t="e">
        <f>VLOOKUP(B141,'ALL Projects'!$A$2:$C590,2,0)</f>
        <v>#N/A</v>
      </c>
    </row>
    <row r="142" spans="1:10">
      <c r="A142">
        <v>141</v>
      </c>
      <c r="B142">
        <v>221001672</v>
      </c>
      <c r="C142" t="s">
        <v>1348</v>
      </c>
      <c r="D142" t="s">
        <v>1459</v>
      </c>
      <c r="E142" t="s">
        <v>1460</v>
      </c>
      <c r="F142">
        <v>3.18</v>
      </c>
      <c r="G142">
        <v>108</v>
      </c>
      <c r="J142" t="e">
        <f>VLOOKUP(B142,'ALL Projects'!$A$2:$C591,2,0)</f>
        <v>#N/A</v>
      </c>
    </row>
    <row r="143" spans="1:10">
      <c r="A143">
        <v>142</v>
      </c>
      <c r="B143">
        <v>221001680</v>
      </c>
      <c r="C143" t="s">
        <v>1348</v>
      </c>
      <c r="D143" t="s">
        <v>1461</v>
      </c>
      <c r="E143" t="s">
        <v>1462</v>
      </c>
      <c r="F143">
        <v>3.26</v>
      </c>
      <c r="G143">
        <v>108</v>
      </c>
      <c r="J143" t="e">
        <f>VLOOKUP(B143,'ALL Projects'!$A$2:$C592,2,0)</f>
        <v>#N/A</v>
      </c>
    </row>
    <row r="144" spans="1:10">
      <c r="A144">
        <v>143</v>
      </c>
      <c r="B144">
        <v>221001705</v>
      </c>
      <c r="C144" t="s">
        <v>1348</v>
      </c>
      <c r="D144" t="s">
        <v>1463</v>
      </c>
      <c r="E144" t="s">
        <v>1464</v>
      </c>
      <c r="F144">
        <v>3.83</v>
      </c>
      <c r="G144">
        <v>108</v>
      </c>
      <c r="J144" t="e">
        <f>VLOOKUP(B144,'ALL Projects'!$A$2:$C593,2,0)</f>
        <v>#N/A</v>
      </c>
    </row>
    <row r="145" spans="1:10">
      <c r="A145">
        <v>144</v>
      </c>
      <c r="B145">
        <v>221001707</v>
      </c>
      <c r="C145" t="s">
        <v>1348</v>
      </c>
      <c r="D145" t="s">
        <v>1465</v>
      </c>
      <c r="E145" t="s">
        <v>1466</v>
      </c>
      <c r="F145">
        <v>2.65</v>
      </c>
      <c r="G145">
        <v>108</v>
      </c>
      <c r="J145" t="e">
        <f>VLOOKUP(B145,'ALL Projects'!$A$2:$C594,2,0)</f>
        <v>#N/A</v>
      </c>
    </row>
    <row r="146" spans="1:10">
      <c r="A146">
        <v>145</v>
      </c>
      <c r="B146">
        <v>221001714</v>
      </c>
      <c r="C146" t="s">
        <v>1348</v>
      </c>
      <c r="D146" t="s">
        <v>1467</v>
      </c>
      <c r="E146" t="s">
        <v>1468</v>
      </c>
      <c r="F146">
        <v>3.56</v>
      </c>
      <c r="G146">
        <v>108</v>
      </c>
      <c r="J146" t="e">
        <f>VLOOKUP(B146,'ALL Projects'!$A$2:$C595,2,0)</f>
        <v>#N/A</v>
      </c>
    </row>
    <row r="147" spans="1:10">
      <c r="A147">
        <v>146</v>
      </c>
      <c r="B147">
        <v>221001775</v>
      </c>
      <c r="C147" t="s">
        <v>1348</v>
      </c>
      <c r="D147" t="s">
        <v>1469</v>
      </c>
      <c r="E147" t="s">
        <v>1470</v>
      </c>
      <c r="F147">
        <v>3.22</v>
      </c>
      <c r="G147">
        <v>108</v>
      </c>
      <c r="J147" t="e">
        <f>VLOOKUP(B147,'ALL Projects'!$A$2:$C596,2,0)</f>
        <v>#N/A</v>
      </c>
    </row>
    <row r="148" spans="1:10">
      <c r="A148">
        <v>147</v>
      </c>
      <c r="B148">
        <v>221001796</v>
      </c>
      <c r="C148" t="s">
        <v>1348</v>
      </c>
      <c r="D148" t="s">
        <v>1471</v>
      </c>
      <c r="E148" t="s">
        <v>1472</v>
      </c>
      <c r="F148">
        <v>3.14</v>
      </c>
      <c r="G148">
        <v>108</v>
      </c>
      <c r="J148" t="e">
        <f>VLOOKUP(B148,'ALL Projects'!$A$2:$C597,2,0)</f>
        <v>#N/A</v>
      </c>
    </row>
    <row r="149" spans="1:10">
      <c r="A149">
        <v>148</v>
      </c>
      <c r="B149">
        <v>221001819</v>
      </c>
      <c r="C149" t="s">
        <v>1348</v>
      </c>
      <c r="D149" t="s">
        <v>1473</v>
      </c>
      <c r="E149" t="s">
        <v>1474</v>
      </c>
      <c r="F149">
        <v>2.9</v>
      </c>
      <c r="G149">
        <v>108</v>
      </c>
      <c r="J149" t="e">
        <f>VLOOKUP(B149,'ALL Projects'!$A$2:$C598,2,0)</f>
        <v>#N/A</v>
      </c>
    </row>
    <row r="150" spans="1:10">
      <c r="A150">
        <v>149</v>
      </c>
      <c r="B150">
        <v>221001868</v>
      </c>
      <c r="C150" t="s">
        <v>1348</v>
      </c>
      <c r="D150" t="s">
        <v>1475</v>
      </c>
      <c r="E150" t="s">
        <v>1476</v>
      </c>
      <c r="F150">
        <v>3.37</v>
      </c>
      <c r="G150">
        <v>108</v>
      </c>
      <c r="J150" t="e">
        <f>VLOOKUP(B150,'ALL Projects'!$A$2:$C599,2,0)</f>
        <v>#N/A</v>
      </c>
    </row>
    <row r="151" spans="1:10">
      <c r="A151">
        <v>150</v>
      </c>
      <c r="B151">
        <v>221001872</v>
      </c>
      <c r="C151" t="s">
        <v>1348</v>
      </c>
      <c r="D151" t="s">
        <v>1477</v>
      </c>
      <c r="E151" t="s">
        <v>1478</v>
      </c>
      <c r="F151">
        <v>3.27</v>
      </c>
      <c r="G151">
        <v>108</v>
      </c>
      <c r="J151" t="e">
        <f>VLOOKUP(B151,'ALL Projects'!$A$2:$C600,2,0)</f>
        <v>#N/A</v>
      </c>
    </row>
    <row r="152" spans="1:10">
      <c r="A152">
        <v>151</v>
      </c>
      <c r="B152">
        <v>221001877</v>
      </c>
      <c r="C152" t="s">
        <v>1348</v>
      </c>
      <c r="D152" t="s">
        <v>1479</v>
      </c>
      <c r="E152" t="s">
        <v>1480</v>
      </c>
      <c r="F152">
        <v>3.96</v>
      </c>
      <c r="G152">
        <v>108</v>
      </c>
      <c r="J152" t="e">
        <f>VLOOKUP(B152,'ALL Projects'!$A$2:$C601,2,0)</f>
        <v>#N/A</v>
      </c>
    </row>
    <row r="153" spans="1:10">
      <c r="A153">
        <v>152</v>
      </c>
      <c r="B153">
        <v>221001896</v>
      </c>
      <c r="C153" t="s">
        <v>1348</v>
      </c>
      <c r="D153" t="s">
        <v>1481</v>
      </c>
      <c r="E153" t="s">
        <v>1482</v>
      </c>
      <c r="F153">
        <v>3.74</v>
      </c>
      <c r="G153">
        <v>108</v>
      </c>
      <c r="J153" t="e">
        <f>VLOOKUP(B153,'ALL Projects'!$A$2:$C602,2,0)</f>
        <v>#N/A</v>
      </c>
    </row>
    <row r="154" spans="1:10">
      <c r="A154">
        <v>153</v>
      </c>
      <c r="B154">
        <v>221001909</v>
      </c>
      <c r="C154" t="s">
        <v>1348</v>
      </c>
      <c r="D154" t="s">
        <v>1483</v>
      </c>
      <c r="E154" t="s">
        <v>1484</v>
      </c>
      <c r="F154">
        <v>3.27</v>
      </c>
      <c r="G154">
        <v>108</v>
      </c>
      <c r="J154" t="e">
        <f>VLOOKUP(B154,'ALL Projects'!$A$2:$C603,2,0)</f>
        <v>#N/A</v>
      </c>
    </row>
    <row r="155" spans="1:10">
      <c r="A155">
        <v>154</v>
      </c>
      <c r="B155">
        <v>221001911</v>
      </c>
      <c r="C155" t="s">
        <v>1348</v>
      </c>
      <c r="D155" t="s">
        <v>1485</v>
      </c>
      <c r="E155" t="s">
        <v>1486</v>
      </c>
      <c r="F155">
        <v>3.63</v>
      </c>
      <c r="G155">
        <v>108</v>
      </c>
      <c r="J155" t="e">
        <f>VLOOKUP(B155,'ALL Projects'!$A$2:$C604,2,0)</f>
        <v>#N/A</v>
      </c>
    </row>
    <row r="156" spans="1:10">
      <c r="A156">
        <v>155</v>
      </c>
      <c r="B156">
        <v>221001914</v>
      </c>
      <c r="C156" t="s">
        <v>1348</v>
      </c>
      <c r="D156" t="s">
        <v>1487</v>
      </c>
      <c r="E156" t="s">
        <v>1488</v>
      </c>
      <c r="F156">
        <v>3.49</v>
      </c>
      <c r="G156">
        <v>108</v>
      </c>
      <c r="J156" t="e">
        <f>VLOOKUP(B156,'ALL Projects'!$A$2:$C605,2,0)</f>
        <v>#N/A</v>
      </c>
    </row>
    <row r="157" spans="1:10">
      <c r="A157">
        <v>156</v>
      </c>
      <c r="B157">
        <v>221001919</v>
      </c>
      <c r="C157" t="s">
        <v>1348</v>
      </c>
      <c r="D157" t="s">
        <v>1489</v>
      </c>
      <c r="E157" t="s">
        <v>1490</v>
      </c>
      <c r="F157">
        <v>2.86</v>
      </c>
      <c r="G157">
        <v>108</v>
      </c>
      <c r="J157" t="e">
        <f>VLOOKUP(B157,'ALL Projects'!$A$2:$C606,2,0)</f>
        <v>#N/A</v>
      </c>
    </row>
    <row r="158" spans="1:10">
      <c r="A158">
        <v>157</v>
      </c>
      <c r="B158">
        <v>221001957</v>
      </c>
      <c r="C158" t="s">
        <v>1348</v>
      </c>
      <c r="D158" t="s">
        <v>1491</v>
      </c>
      <c r="E158" t="s">
        <v>1492</v>
      </c>
      <c r="F158">
        <v>3.59</v>
      </c>
      <c r="G158">
        <v>108</v>
      </c>
      <c r="J158" t="e">
        <f>VLOOKUP(B158,'ALL Projects'!$A$2:$C607,2,0)</f>
        <v>#N/A</v>
      </c>
    </row>
    <row r="159" spans="1:10">
      <c r="A159">
        <v>158</v>
      </c>
      <c r="B159">
        <v>221002083</v>
      </c>
      <c r="C159" t="s">
        <v>1348</v>
      </c>
      <c r="D159" t="s">
        <v>1493</v>
      </c>
      <c r="E159" t="s">
        <v>1494</v>
      </c>
      <c r="F159">
        <v>3.43</v>
      </c>
      <c r="G159">
        <v>108</v>
      </c>
      <c r="J159" t="e">
        <f>VLOOKUP(B159,'ALL Projects'!$A$2:$C608,2,0)</f>
        <v>#N/A</v>
      </c>
    </row>
    <row r="160" spans="1:10">
      <c r="A160">
        <v>159</v>
      </c>
      <c r="B160">
        <v>221000008</v>
      </c>
      <c r="C160" t="s">
        <v>1348</v>
      </c>
      <c r="D160" t="s">
        <v>1495</v>
      </c>
      <c r="E160" t="s">
        <v>1496</v>
      </c>
      <c r="F160">
        <v>3.15</v>
      </c>
      <c r="G160">
        <v>107</v>
      </c>
      <c r="J160" t="e">
        <f>VLOOKUP(B160,'ALL Projects'!$A$2:$C609,2,0)</f>
        <v>#N/A</v>
      </c>
    </row>
    <row r="161" spans="1:10">
      <c r="A161">
        <v>160</v>
      </c>
      <c r="B161">
        <v>221000015</v>
      </c>
      <c r="C161" t="s">
        <v>1348</v>
      </c>
      <c r="D161" t="s">
        <v>1497</v>
      </c>
      <c r="E161" t="s">
        <v>1498</v>
      </c>
      <c r="F161">
        <v>3.27</v>
      </c>
      <c r="G161">
        <v>107</v>
      </c>
      <c r="J161" t="e">
        <f>VLOOKUP(B161,'ALL Projects'!$A$2:$C610,2,0)</f>
        <v>#N/A</v>
      </c>
    </row>
    <row r="162" spans="1:10">
      <c r="A162">
        <v>161</v>
      </c>
      <c r="B162">
        <v>221000539</v>
      </c>
      <c r="C162" t="s">
        <v>1348</v>
      </c>
      <c r="D162" t="s">
        <v>1499</v>
      </c>
      <c r="E162" t="s">
        <v>1500</v>
      </c>
      <c r="F162">
        <v>3.26</v>
      </c>
      <c r="G162">
        <v>107</v>
      </c>
      <c r="J162" t="e">
        <f>VLOOKUP(B162,'ALL Projects'!$A$2:$C611,2,0)</f>
        <v>#N/A</v>
      </c>
    </row>
    <row r="163" spans="1:10">
      <c r="A163">
        <v>162</v>
      </c>
      <c r="B163">
        <v>221000608</v>
      </c>
      <c r="C163" t="s">
        <v>1348</v>
      </c>
      <c r="D163" t="s">
        <v>1501</v>
      </c>
      <c r="E163" t="s">
        <v>1502</v>
      </c>
      <c r="F163">
        <v>3.66</v>
      </c>
      <c r="G163">
        <v>107</v>
      </c>
      <c r="J163" t="e">
        <f>VLOOKUP(B163,'ALL Projects'!$A$2:$C612,2,0)</f>
        <v>#N/A</v>
      </c>
    </row>
    <row r="164" spans="1:10">
      <c r="A164">
        <v>163</v>
      </c>
      <c r="B164">
        <v>221000741</v>
      </c>
      <c r="C164" t="s">
        <v>1348</v>
      </c>
      <c r="D164" t="s">
        <v>1503</v>
      </c>
      <c r="E164" t="s">
        <v>1504</v>
      </c>
      <c r="F164">
        <v>3.52</v>
      </c>
      <c r="G164">
        <v>107</v>
      </c>
      <c r="J164" t="e">
        <f>VLOOKUP(B164,'ALL Projects'!$A$2:$C613,2,0)</f>
        <v>#N/A</v>
      </c>
    </row>
    <row r="165" spans="1:10">
      <c r="A165">
        <v>164</v>
      </c>
      <c r="B165">
        <v>221000966</v>
      </c>
      <c r="C165" t="s">
        <v>1348</v>
      </c>
      <c r="D165" t="s">
        <v>1505</v>
      </c>
      <c r="E165" t="s">
        <v>1506</v>
      </c>
      <c r="F165">
        <v>3.12</v>
      </c>
      <c r="G165">
        <v>107</v>
      </c>
      <c r="J165" t="e">
        <f>VLOOKUP(B165,'ALL Projects'!$A$2:$C614,2,0)</f>
        <v>#N/A</v>
      </c>
    </row>
    <row r="166" spans="1:10">
      <c r="A166">
        <v>165</v>
      </c>
      <c r="B166">
        <v>221001139</v>
      </c>
      <c r="C166" t="s">
        <v>1348</v>
      </c>
      <c r="D166" t="s">
        <v>1507</v>
      </c>
      <c r="E166" t="s">
        <v>1508</v>
      </c>
      <c r="F166">
        <v>3.47</v>
      </c>
      <c r="G166">
        <v>107</v>
      </c>
      <c r="J166" t="e">
        <f>VLOOKUP(B166,'ALL Projects'!$A$2:$C615,2,0)</f>
        <v>#N/A</v>
      </c>
    </row>
    <row r="167" spans="1:10">
      <c r="A167">
        <v>166</v>
      </c>
      <c r="B167">
        <v>221001954</v>
      </c>
      <c r="C167" t="s">
        <v>1348</v>
      </c>
      <c r="D167" t="s">
        <v>1509</v>
      </c>
      <c r="E167" t="s">
        <v>1510</v>
      </c>
      <c r="F167">
        <v>3.99</v>
      </c>
      <c r="G167">
        <v>107</v>
      </c>
      <c r="J167" t="e">
        <f>VLOOKUP(B167,'ALL Projects'!$A$2:$C616,2,0)</f>
        <v>#N/A</v>
      </c>
    </row>
    <row r="168" spans="1:10">
      <c r="A168">
        <v>167</v>
      </c>
      <c r="B168">
        <v>221001994</v>
      </c>
      <c r="C168" t="s">
        <v>1348</v>
      </c>
      <c r="D168" t="s">
        <v>1511</v>
      </c>
      <c r="E168" t="s">
        <v>1512</v>
      </c>
      <c r="F168">
        <v>3.8</v>
      </c>
      <c r="G168">
        <v>107</v>
      </c>
      <c r="J168" t="e">
        <f>VLOOKUP(B168,'ALL Projects'!$A$2:$C617,2,0)</f>
        <v>#N/A</v>
      </c>
    </row>
    <row r="169" spans="1:10">
      <c r="A169">
        <v>168</v>
      </c>
      <c r="B169">
        <v>211001922</v>
      </c>
      <c r="C169" t="s">
        <v>1348</v>
      </c>
      <c r="D169" t="s">
        <v>1513</v>
      </c>
      <c r="E169" t="s">
        <v>1514</v>
      </c>
      <c r="F169">
        <v>2.09</v>
      </c>
      <c r="G169">
        <v>106</v>
      </c>
      <c r="J169" t="e">
        <f>VLOOKUP(B169,'ALL Projects'!$A$2:$C618,2,0)</f>
        <v>#N/A</v>
      </c>
    </row>
    <row r="170" spans="1:10">
      <c r="A170">
        <v>169</v>
      </c>
      <c r="B170">
        <v>221000415</v>
      </c>
      <c r="C170" t="s">
        <v>1348</v>
      </c>
      <c r="D170" t="s">
        <v>1515</v>
      </c>
      <c r="E170" t="s">
        <v>1516</v>
      </c>
      <c r="F170">
        <v>3.77</v>
      </c>
      <c r="G170">
        <v>106</v>
      </c>
      <c r="J170" t="e">
        <f>VLOOKUP(B170,'ALL Projects'!$A$2:$C619,2,0)</f>
        <v>#N/A</v>
      </c>
    </row>
    <row r="171" spans="1:10">
      <c r="A171">
        <v>170</v>
      </c>
      <c r="B171">
        <v>221001757</v>
      </c>
      <c r="C171" t="s">
        <v>1348</v>
      </c>
      <c r="D171" t="s">
        <v>1517</v>
      </c>
      <c r="E171" t="s">
        <v>1518</v>
      </c>
      <c r="F171">
        <v>3.9</v>
      </c>
      <c r="G171">
        <v>106</v>
      </c>
      <c r="J171" t="e">
        <f>VLOOKUP(B171,'ALL Projects'!$A$2:$C620,2,0)</f>
        <v>#N/A</v>
      </c>
    </row>
    <row r="172" spans="1:10">
      <c r="A172">
        <v>171</v>
      </c>
      <c r="B172">
        <v>221001780</v>
      </c>
      <c r="C172" t="s">
        <v>1348</v>
      </c>
      <c r="D172" t="s">
        <v>1519</v>
      </c>
      <c r="E172" t="s">
        <v>1520</v>
      </c>
      <c r="F172">
        <v>3.43</v>
      </c>
      <c r="G172">
        <v>106</v>
      </c>
      <c r="J172" t="e">
        <f>VLOOKUP(B172,'ALL Projects'!$A$2:$C621,2,0)</f>
        <v>#N/A</v>
      </c>
    </row>
    <row r="173" spans="1:10">
      <c r="A173">
        <v>172</v>
      </c>
      <c r="B173">
        <v>221001823</v>
      </c>
      <c r="C173" t="s">
        <v>1348</v>
      </c>
      <c r="D173" t="s">
        <v>1521</v>
      </c>
      <c r="E173" t="s">
        <v>1522</v>
      </c>
      <c r="F173">
        <v>3.72</v>
      </c>
      <c r="G173">
        <v>106</v>
      </c>
      <c r="J173" t="e">
        <f>VLOOKUP(B173,'ALL Projects'!$A$2:$C622,2,0)</f>
        <v>#N/A</v>
      </c>
    </row>
    <row r="174" spans="1:10">
      <c r="A174">
        <v>173</v>
      </c>
      <c r="B174">
        <v>221000089</v>
      </c>
      <c r="C174" t="s">
        <v>1348</v>
      </c>
      <c r="D174" t="s">
        <v>1523</v>
      </c>
      <c r="E174" t="s">
        <v>1524</v>
      </c>
      <c r="F174">
        <v>3.42</v>
      </c>
      <c r="G174">
        <v>105</v>
      </c>
      <c r="J174" t="e">
        <f>VLOOKUP(B174,'ALL Projects'!$A$2:$C623,2,0)</f>
        <v>#N/A</v>
      </c>
    </row>
    <row r="175" spans="1:10">
      <c r="A175">
        <v>174</v>
      </c>
      <c r="B175">
        <v>221000295</v>
      </c>
      <c r="C175" t="s">
        <v>1348</v>
      </c>
      <c r="D175" t="s">
        <v>1525</v>
      </c>
      <c r="E175" t="s">
        <v>1526</v>
      </c>
      <c r="F175">
        <v>2.52</v>
      </c>
      <c r="G175">
        <v>105</v>
      </c>
      <c r="J175" t="e">
        <f>VLOOKUP(B175,'ALL Projects'!$A$2:$C624,2,0)</f>
        <v>#N/A</v>
      </c>
    </row>
    <row r="176" spans="1:10">
      <c r="A176">
        <v>175</v>
      </c>
      <c r="B176">
        <v>221000418</v>
      </c>
      <c r="C176" t="s">
        <v>1348</v>
      </c>
      <c r="D176" t="s">
        <v>1527</v>
      </c>
      <c r="E176" t="s">
        <v>1528</v>
      </c>
      <c r="F176">
        <v>2.77</v>
      </c>
      <c r="G176">
        <v>105</v>
      </c>
      <c r="J176" t="e">
        <f>VLOOKUP(B176,'ALL Projects'!$A$2:$C625,2,0)</f>
        <v>#N/A</v>
      </c>
    </row>
    <row r="177" spans="1:10">
      <c r="A177">
        <v>176</v>
      </c>
      <c r="B177">
        <v>221000473</v>
      </c>
      <c r="C177" t="s">
        <v>1348</v>
      </c>
      <c r="D177" t="s">
        <v>1529</v>
      </c>
      <c r="E177" t="s">
        <v>1530</v>
      </c>
      <c r="F177">
        <v>3.06</v>
      </c>
      <c r="G177">
        <v>105</v>
      </c>
      <c r="J177" t="e">
        <f>VLOOKUP(B177,'ALL Projects'!$A$2:$C626,2,0)</f>
        <v>#N/A</v>
      </c>
    </row>
    <row r="178" spans="1:10">
      <c r="A178">
        <v>177</v>
      </c>
      <c r="B178">
        <v>221000776</v>
      </c>
      <c r="C178" t="s">
        <v>1348</v>
      </c>
      <c r="D178" t="s">
        <v>1531</v>
      </c>
      <c r="E178" t="s">
        <v>1532</v>
      </c>
      <c r="F178">
        <v>3.17</v>
      </c>
      <c r="G178">
        <v>105</v>
      </c>
      <c r="J178" t="e">
        <f>VLOOKUP(B178,'ALL Projects'!$A$2:$C627,2,0)</f>
        <v>#N/A</v>
      </c>
    </row>
    <row r="179" spans="1:10">
      <c r="A179">
        <v>178</v>
      </c>
      <c r="B179">
        <v>221000793</v>
      </c>
      <c r="C179" t="s">
        <v>1348</v>
      </c>
      <c r="D179" t="s">
        <v>1533</v>
      </c>
      <c r="E179" t="s">
        <v>1534</v>
      </c>
      <c r="F179">
        <v>2.76</v>
      </c>
      <c r="G179">
        <v>105</v>
      </c>
      <c r="J179" t="e">
        <f>VLOOKUP(B179,'ALL Projects'!$A$2:$C628,2,0)</f>
        <v>#N/A</v>
      </c>
    </row>
    <row r="180" spans="1:10">
      <c r="A180">
        <v>179</v>
      </c>
      <c r="B180">
        <v>221000837</v>
      </c>
      <c r="C180" t="s">
        <v>1348</v>
      </c>
      <c r="D180" t="s">
        <v>1535</v>
      </c>
      <c r="E180" t="s">
        <v>1536</v>
      </c>
      <c r="F180">
        <v>2.61</v>
      </c>
      <c r="G180">
        <v>105</v>
      </c>
      <c r="J180" t="e">
        <f>VLOOKUP(B180,'ALL Projects'!$A$2:$C629,2,0)</f>
        <v>#N/A</v>
      </c>
    </row>
    <row r="181" spans="1:10">
      <c r="A181">
        <v>180</v>
      </c>
      <c r="B181">
        <v>221000842</v>
      </c>
      <c r="C181" t="s">
        <v>1348</v>
      </c>
      <c r="D181" t="s">
        <v>1537</v>
      </c>
      <c r="E181" t="s">
        <v>1538</v>
      </c>
      <c r="F181">
        <v>2.31</v>
      </c>
      <c r="G181">
        <v>105</v>
      </c>
      <c r="J181" t="e">
        <f>VLOOKUP(B181,'ALL Projects'!$A$2:$C630,2,0)</f>
        <v>#N/A</v>
      </c>
    </row>
    <row r="182" spans="1:10">
      <c r="A182">
        <v>181</v>
      </c>
      <c r="B182">
        <v>221000911</v>
      </c>
      <c r="C182" t="s">
        <v>1348</v>
      </c>
      <c r="D182" t="s">
        <v>1539</v>
      </c>
      <c r="E182" t="s">
        <v>1540</v>
      </c>
      <c r="F182">
        <v>3.25</v>
      </c>
      <c r="G182">
        <v>105</v>
      </c>
      <c r="J182" t="e">
        <f>VLOOKUP(B182,'ALL Projects'!$A$2:$C631,2,0)</f>
        <v>#N/A</v>
      </c>
    </row>
    <row r="183" spans="1:10">
      <c r="A183">
        <v>182</v>
      </c>
      <c r="B183">
        <v>221000960</v>
      </c>
      <c r="C183" t="s">
        <v>1348</v>
      </c>
      <c r="D183" t="s">
        <v>1541</v>
      </c>
      <c r="E183" t="s">
        <v>1542</v>
      </c>
      <c r="F183">
        <v>3.29</v>
      </c>
      <c r="G183">
        <v>105</v>
      </c>
      <c r="J183" t="e">
        <f>VLOOKUP(B183,'ALL Projects'!$A$2:$C632,2,0)</f>
        <v>#N/A</v>
      </c>
    </row>
    <row r="184" spans="1:10">
      <c r="A184">
        <v>183</v>
      </c>
      <c r="B184">
        <v>221001155</v>
      </c>
      <c r="C184" t="s">
        <v>1348</v>
      </c>
      <c r="D184" t="s">
        <v>1543</v>
      </c>
      <c r="E184" t="s">
        <v>1544</v>
      </c>
      <c r="F184">
        <v>2.74</v>
      </c>
      <c r="G184">
        <v>105</v>
      </c>
      <c r="J184" t="e">
        <f>VLOOKUP(B184,'ALL Projects'!$A$2:$C633,2,0)</f>
        <v>#N/A</v>
      </c>
    </row>
    <row r="185" spans="1:10">
      <c r="A185">
        <v>184</v>
      </c>
      <c r="B185">
        <v>221001313</v>
      </c>
      <c r="C185" t="s">
        <v>1348</v>
      </c>
      <c r="D185" t="s">
        <v>1545</v>
      </c>
      <c r="E185" t="s">
        <v>1546</v>
      </c>
      <c r="F185">
        <v>3.99</v>
      </c>
      <c r="G185">
        <v>105</v>
      </c>
      <c r="J185" t="e">
        <f>VLOOKUP(B185,'ALL Projects'!$A$2:$C634,2,0)</f>
        <v>#N/A</v>
      </c>
    </row>
    <row r="186" spans="1:10">
      <c r="A186">
        <v>185</v>
      </c>
      <c r="B186">
        <v>221001371</v>
      </c>
      <c r="C186" t="s">
        <v>1348</v>
      </c>
      <c r="D186" t="s">
        <v>1547</v>
      </c>
      <c r="E186" t="s">
        <v>1548</v>
      </c>
      <c r="F186">
        <v>3.54</v>
      </c>
      <c r="G186">
        <v>105</v>
      </c>
      <c r="J186" t="e">
        <f>VLOOKUP(B186,'ALL Projects'!$A$2:$C635,2,0)</f>
        <v>#N/A</v>
      </c>
    </row>
    <row r="187" spans="1:10">
      <c r="A187">
        <v>186</v>
      </c>
      <c r="B187">
        <v>221001458</v>
      </c>
      <c r="C187" t="s">
        <v>1348</v>
      </c>
      <c r="D187" t="s">
        <v>1549</v>
      </c>
      <c r="E187" t="s">
        <v>1550</v>
      </c>
      <c r="F187">
        <v>3.86</v>
      </c>
      <c r="G187">
        <v>105</v>
      </c>
      <c r="J187" t="e">
        <f>VLOOKUP(B187,'ALL Projects'!$A$2:$C636,2,0)</f>
        <v>#N/A</v>
      </c>
    </row>
    <row r="188" spans="1:10">
      <c r="A188">
        <v>187</v>
      </c>
      <c r="B188">
        <v>221001586</v>
      </c>
      <c r="C188" t="s">
        <v>1348</v>
      </c>
      <c r="D188" t="s">
        <v>1551</v>
      </c>
      <c r="E188" t="s">
        <v>1552</v>
      </c>
      <c r="F188">
        <v>2.6</v>
      </c>
      <c r="G188">
        <v>105</v>
      </c>
      <c r="J188" t="e">
        <f>VLOOKUP(B188,'ALL Projects'!$A$2:$C637,2,0)</f>
        <v>#N/A</v>
      </c>
    </row>
    <row r="189" spans="1:10">
      <c r="A189">
        <v>188</v>
      </c>
      <c r="B189">
        <v>221001609</v>
      </c>
      <c r="C189" t="s">
        <v>1348</v>
      </c>
      <c r="D189" t="s">
        <v>1553</v>
      </c>
      <c r="E189" t="s">
        <v>1554</v>
      </c>
      <c r="F189">
        <v>3.92</v>
      </c>
      <c r="G189">
        <v>105</v>
      </c>
      <c r="J189" t="e">
        <f>VLOOKUP(B189,'ALL Projects'!$A$2:$C638,2,0)</f>
        <v>#N/A</v>
      </c>
    </row>
    <row r="190" spans="1:10">
      <c r="A190">
        <v>189</v>
      </c>
      <c r="B190">
        <v>221001614</v>
      </c>
      <c r="C190" t="s">
        <v>1348</v>
      </c>
      <c r="D190" t="s">
        <v>1555</v>
      </c>
      <c r="E190" t="s">
        <v>1556</v>
      </c>
      <c r="F190">
        <v>3.99</v>
      </c>
      <c r="G190">
        <v>105</v>
      </c>
      <c r="J190" t="e">
        <f>VLOOKUP(B190,'ALL Projects'!$A$2:$C639,2,0)</f>
        <v>#N/A</v>
      </c>
    </row>
    <row r="191" spans="1:10">
      <c r="A191">
        <v>190</v>
      </c>
      <c r="B191">
        <v>221001652</v>
      </c>
      <c r="C191" t="s">
        <v>1348</v>
      </c>
      <c r="D191" t="s">
        <v>1557</v>
      </c>
      <c r="E191" t="s">
        <v>1558</v>
      </c>
      <c r="F191">
        <v>3.3</v>
      </c>
      <c r="G191">
        <v>105</v>
      </c>
      <c r="J191" t="e">
        <f>VLOOKUP(B191,'ALL Projects'!$A$2:$C640,2,0)</f>
        <v>#N/A</v>
      </c>
    </row>
    <row r="192" spans="1:10">
      <c r="A192">
        <v>191</v>
      </c>
      <c r="B192">
        <v>221001656</v>
      </c>
      <c r="C192" t="s">
        <v>1348</v>
      </c>
      <c r="D192" t="s">
        <v>1559</v>
      </c>
      <c r="E192" t="s">
        <v>1560</v>
      </c>
      <c r="F192">
        <v>3.48</v>
      </c>
      <c r="G192">
        <v>105</v>
      </c>
      <c r="J192" t="e">
        <f>VLOOKUP(B192,'ALL Projects'!$A$2:$C641,2,0)</f>
        <v>#N/A</v>
      </c>
    </row>
    <row r="193" spans="1:10">
      <c r="A193">
        <v>192</v>
      </c>
      <c r="B193">
        <v>221001658</v>
      </c>
      <c r="C193" t="s">
        <v>1348</v>
      </c>
      <c r="D193" t="s">
        <v>1561</v>
      </c>
      <c r="E193" t="s">
        <v>1562</v>
      </c>
      <c r="F193">
        <v>3.98</v>
      </c>
      <c r="G193">
        <v>105</v>
      </c>
      <c r="J193" t="e">
        <f>VLOOKUP(B193,'ALL Projects'!$A$2:$C642,2,0)</f>
        <v>#N/A</v>
      </c>
    </row>
    <row r="194" spans="1:10">
      <c r="A194">
        <v>193</v>
      </c>
      <c r="B194">
        <v>221001679</v>
      </c>
      <c r="C194" t="s">
        <v>1348</v>
      </c>
      <c r="D194" t="s">
        <v>1563</v>
      </c>
      <c r="E194" t="s">
        <v>1564</v>
      </c>
      <c r="F194">
        <v>3.96</v>
      </c>
      <c r="G194">
        <v>105</v>
      </c>
      <c r="J194" t="e">
        <f>VLOOKUP(B194,'ALL Projects'!$A$2:$C643,2,0)</f>
        <v>#N/A</v>
      </c>
    </row>
    <row r="195" spans="1:10">
      <c r="A195">
        <v>194</v>
      </c>
      <c r="B195">
        <v>221001684</v>
      </c>
      <c r="C195" t="s">
        <v>1348</v>
      </c>
      <c r="D195" t="s">
        <v>1565</v>
      </c>
      <c r="E195" t="s">
        <v>1566</v>
      </c>
      <c r="F195">
        <v>2.94</v>
      </c>
      <c r="G195">
        <v>105</v>
      </c>
      <c r="J195" t="e">
        <f>VLOOKUP(B195,'ALL Projects'!$A$2:$C644,2,0)</f>
        <v>#N/A</v>
      </c>
    </row>
    <row r="196" spans="1:10">
      <c r="A196">
        <v>195</v>
      </c>
      <c r="B196">
        <v>221001687</v>
      </c>
      <c r="C196" t="s">
        <v>1348</v>
      </c>
      <c r="D196" t="s">
        <v>1567</v>
      </c>
      <c r="E196" t="s">
        <v>1568</v>
      </c>
      <c r="F196">
        <v>3.14</v>
      </c>
      <c r="G196">
        <v>105</v>
      </c>
      <c r="J196" t="e">
        <f>VLOOKUP(B196,'ALL Projects'!$A$2:$C645,2,0)</f>
        <v>#N/A</v>
      </c>
    </row>
    <row r="197" spans="1:10">
      <c r="A197">
        <v>196</v>
      </c>
      <c r="B197">
        <v>221001747</v>
      </c>
      <c r="C197" t="s">
        <v>1348</v>
      </c>
      <c r="D197" t="s">
        <v>1569</v>
      </c>
      <c r="E197" t="s">
        <v>1570</v>
      </c>
      <c r="F197">
        <v>2.76</v>
      </c>
      <c r="G197">
        <v>105</v>
      </c>
      <c r="J197" t="e">
        <f>VLOOKUP(B197,'ALL Projects'!$A$2:$C646,2,0)</f>
        <v>#N/A</v>
      </c>
    </row>
    <row r="198" spans="1:10">
      <c r="A198">
        <v>197</v>
      </c>
      <c r="B198">
        <v>221001899</v>
      </c>
      <c r="C198" t="s">
        <v>1348</v>
      </c>
      <c r="D198" t="s">
        <v>1571</v>
      </c>
      <c r="E198" t="s">
        <v>1572</v>
      </c>
      <c r="F198">
        <v>3.31</v>
      </c>
      <c r="G198">
        <v>105</v>
      </c>
      <c r="J198" t="e">
        <f>VLOOKUP(B198,'ALL Projects'!$A$2:$C647,2,0)</f>
        <v>#N/A</v>
      </c>
    </row>
    <row r="199" spans="1:10">
      <c r="A199">
        <v>198</v>
      </c>
      <c r="B199">
        <v>221001906</v>
      </c>
      <c r="C199" t="s">
        <v>1348</v>
      </c>
      <c r="D199" t="s">
        <v>1573</v>
      </c>
      <c r="E199" t="s">
        <v>1574</v>
      </c>
      <c r="F199">
        <v>3.11</v>
      </c>
      <c r="G199">
        <v>105</v>
      </c>
      <c r="J199" t="e">
        <f>VLOOKUP(B199,'ALL Projects'!$A$2:$C648,2,0)</f>
        <v>#N/A</v>
      </c>
    </row>
    <row r="200" spans="1:10">
      <c r="A200">
        <v>199</v>
      </c>
      <c r="B200">
        <v>221001983</v>
      </c>
      <c r="C200" t="s">
        <v>1348</v>
      </c>
      <c r="D200" t="s">
        <v>1575</v>
      </c>
      <c r="E200" t="s">
        <v>1576</v>
      </c>
      <c r="F200">
        <v>3.05</v>
      </c>
      <c r="G200">
        <v>105</v>
      </c>
      <c r="J200" t="e">
        <f>VLOOKUP(B200,'ALL Projects'!$A$2:$C649,2,0)</f>
        <v>#N/A</v>
      </c>
    </row>
    <row r="201" spans="1:10">
      <c r="A201">
        <v>200</v>
      </c>
      <c r="B201">
        <v>221002000</v>
      </c>
      <c r="C201" t="s">
        <v>1348</v>
      </c>
      <c r="D201" t="s">
        <v>1577</v>
      </c>
      <c r="E201" t="s">
        <v>1578</v>
      </c>
      <c r="F201">
        <v>3.42</v>
      </c>
      <c r="G201">
        <v>105</v>
      </c>
      <c r="J201" t="e">
        <f>VLOOKUP(B201,'ALL Projects'!$A$2:$C650,2,0)</f>
        <v>#N/A</v>
      </c>
    </row>
    <row r="202" spans="1:10">
      <c r="A202">
        <v>201</v>
      </c>
      <c r="B202">
        <v>221000003</v>
      </c>
      <c r="C202" t="s">
        <v>1348</v>
      </c>
      <c r="D202" t="s">
        <v>1579</v>
      </c>
      <c r="E202" t="s">
        <v>1580</v>
      </c>
      <c r="F202">
        <v>2.68</v>
      </c>
      <c r="G202">
        <v>104</v>
      </c>
      <c r="J202" t="e">
        <f>VLOOKUP(B202,'ALL Projects'!$A$2:$C651,2,0)</f>
        <v>#N/A</v>
      </c>
    </row>
    <row r="203" spans="1:10">
      <c r="A203">
        <v>202</v>
      </c>
      <c r="B203">
        <v>221000716</v>
      </c>
      <c r="C203" t="s">
        <v>1348</v>
      </c>
      <c r="D203" t="s">
        <v>1581</v>
      </c>
      <c r="E203" t="s">
        <v>1582</v>
      </c>
      <c r="F203">
        <v>3.77</v>
      </c>
      <c r="G203">
        <v>104</v>
      </c>
      <c r="J203" t="e">
        <f>VLOOKUP(B203,'ALL Projects'!$A$2:$C652,2,0)</f>
        <v>#N/A</v>
      </c>
    </row>
    <row r="204" spans="1:10">
      <c r="A204">
        <v>203</v>
      </c>
      <c r="B204">
        <v>221001344</v>
      </c>
      <c r="C204" t="s">
        <v>1348</v>
      </c>
      <c r="D204" t="s">
        <v>1583</v>
      </c>
      <c r="E204" t="s">
        <v>1584</v>
      </c>
      <c r="F204">
        <v>3.59</v>
      </c>
      <c r="G204">
        <v>104</v>
      </c>
      <c r="J204" t="e">
        <f>VLOOKUP(B204,'ALL Projects'!$A$2:$C653,2,0)</f>
        <v>#N/A</v>
      </c>
    </row>
    <row r="205" spans="1:10">
      <c r="A205">
        <v>204</v>
      </c>
      <c r="B205">
        <v>221001378</v>
      </c>
      <c r="C205" t="s">
        <v>1348</v>
      </c>
      <c r="D205" t="s">
        <v>1585</v>
      </c>
      <c r="E205" t="s">
        <v>1586</v>
      </c>
      <c r="F205">
        <v>3.6</v>
      </c>
      <c r="G205">
        <v>104</v>
      </c>
      <c r="J205" t="e">
        <f>VLOOKUP(B205,'ALL Projects'!$A$2:$C654,2,0)</f>
        <v>#N/A</v>
      </c>
    </row>
    <row r="206" spans="1:10">
      <c r="A206">
        <v>205</v>
      </c>
      <c r="B206">
        <v>221001698</v>
      </c>
      <c r="C206" t="s">
        <v>1348</v>
      </c>
      <c r="D206" t="s">
        <v>1587</v>
      </c>
      <c r="E206" t="s">
        <v>1588</v>
      </c>
      <c r="F206">
        <v>3.77</v>
      </c>
      <c r="G206">
        <v>104</v>
      </c>
      <c r="J206" t="e">
        <f>VLOOKUP(B206,'ALL Projects'!$A$2:$C655,2,0)</f>
        <v>#N/A</v>
      </c>
    </row>
    <row r="207" spans="1:10">
      <c r="A207">
        <v>206</v>
      </c>
      <c r="B207">
        <v>221001982</v>
      </c>
      <c r="C207" t="s">
        <v>1348</v>
      </c>
      <c r="D207" t="s">
        <v>1589</v>
      </c>
      <c r="E207" t="s">
        <v>1590</v>
      </c>
      <c r="F207">
        <v>3.01</v>
      </c>
      <c r="G207">
        <v>104</v>
      </c>
      <c r="J207" t="e">
        <f>VLOOKUP(B207,'ALL Projects'!$A$2:$C656,2,0)</f>
        <v>#N/A</v>
      </c>
    </row>
    <row r="208" spans="1:10">
      <c r="A208">
        <v>207</v>
      </c>
      <c r="B208">
        <v>221002249</v>
      </c>
      <c r="C208" t="s">
        <v>1348</v>
      </c>
      <c r="D208" t="s">
        <v>1591</v>
      </c>
      <c r="E208" t="s">
        <v>1592</v>
      </c>
      <c r="F208">
        <v>2.64</v>
      </c>
      <c r="G208">
        <v>104</v>
      </c>
      <c r="J208" t="e">
        <f>VLOOKUP(B208,'ALL Projects'!$A$2:$C657,2,0)</f>
        <v>#N/A</v>
      </c>
    </row>
    <row r="209" spans="1:10">
      <c r="A209">
        <v>208</v>
      </c>
      <c r="B209">
        <v>19100361</v>
      </c>
      <c r="C209" t="s">
        <v>1348</v>
      </c>
      <c r="D209" t="s">
        <v>1593</v>
      </c>
      <c r="E209" t="s">
        <v>1594</v>
      </c>
      <c r="F209">
        <v>1.59</v>
      </c>
      <c r="G209">
        <v>103</v>
      </c>
      <c r="J209" t="e">
        <f>VLOOKUP(B209,'ALL Projects'!$A$2:$C658,2,0)</f>
        <v>#N/A</v>
      </c>
    </row>
    <row r="210" spans="1:10">
      <c r="A210">
        <v>209</v>
      </c>
      <c r="B210">
        <v>221000068</v>
      </c>
      <c r="C210" t="s">
        <v>1348</v>
      </c>
      <c r="D210" t="s">
        <v>1595</v>
      </c>
      <c r="E210" t="s">
        <v>1596</v>
      </c>
      <c r="F210">
        <v>3.69</v>
      </c>
      <c r="G210">
        <v>103</v>
      </c>
      <c r="J210" t="e">
        <f>VLOOKUP(B210,'ALL Projects'!$A$2:$C659,2,0)</f>
        <v>#N/A</v>
      </c>
    </row>
    <row r="211" spans="1:10">
      <c r="A211">
        <v>210</v>
      </c>
      <c r="B211">
        <v>221000895</v>
      </c>
      <c r="C211" t="s">
        <v>1348</v>
      </c>
      <c r="D211" t="s">
        <v>1597</v>
      </c>
      <c r="E211" t="s">
        <v>1598</v>
      </c>
      <c r="F211">
        <v>2.76</v>
      </c>
      <c r="G211">
        <v>103</v>
      </c>
      <c r="J211" t="e">
        <f>VLOOKUP(B211,'ALL Projects'!$A$2:$C660,2,0)</f>
        <v>#N/A</v>
      </c>
    </row>
    <row r="212" spans="1:10">
      <c r="A212">
        <v>211</v>
      </c>
      <c r="B212">
        <v>221001709</v>
      </c>
      <c r="C212" t="s">
        <v>1348</v>
      </c>
      <c r="D212" t="s">
        <v>1599</v>
      </c>
      <c r="E212" t="s">
        <v>1600</v>
      </c>
      <c r="F212">
        <v>3.29</v>
      </c>
      <c r="G212">
        <v>103</v>
      </c>
      <c r="J212" t="e">
        <f>VLOOKUP(B212,'ALL Projects'!$A$2:$C661,2,0)</f>
        <v>#N/A</v>
      </c>
    </row>
    <row r="213" spans="1:10">
      <c r="A213">
        <v>212</v>
      </c>
      <c r="B213">
        <v>221001723</v>
      </c>
      <c r="C213" t="s">
        <v>1348</v>
      </c>
      <c r="D213" t="s">
        <v>1601</v>
      </c>
      <c r="E213" t="s">
        <v>1602</v>
      </c>
      <c r="F213">
        <v>2.82</v>
      </c>
      <c r="G213">
        <v>103</v>
      </c>
      <c r="J213" t="e">
        <f>VLOOKUP(B213,'ALL Projects'!$A$2:$C662,2,0)</f>
        <v>#N/A</v>
      </c>
    </row>
    <row r="214" spans="1:10">
      <c r="A214">
        <v>213</v>
      </c>
      <c r="B214">
        <v>221001798</v>
      </c>
      <c r="C214" t="s">
        <v>1348</v>
      </c>
      <c r="D214" t="s">
        <v>1603</v>
      </c>
      <c r="E214" t="s">
        <v>1604</v>
      </c>
      <c r="F214">
        <v>3.94</v>
      </c>
      <c r="G214">
        <v>103</v>
      </c>
      <c r="J214" t="e">
        <f>VLOOKUP(B214,'ALL Projects'!$A$2:$C663,2,0)</f>
        <v>#N/A</v>
      </c>
    </row>
    <row r="215" spans="1:10">
      <c r="A215">
        <v>214</v>
      </c>
      <c r="B215">
        <v>221001828</v>
      </c>
      <c r="C215" t="s">
        <v>1348</v>
      </c>
      <c r="D215" t="s">
        <v>1605</v>
      </c>
      <c r="E215" t="s">
        <v>1606</v>
      </c>
      <c r="F215">
        <v>2.9</v>
      </c>
      <c r="G215">
        <v>103</v>
      </c>
      <c r="J215" t="e">
        <f>VLOOKUP(B215,'ALL Projects'!$A$2:$C664,2,0)</f>
        <v>#N/A</v>
      </c>
    </row>
    <row r="216" spans="1:10">
      <c r="A216">
        <v>215</v>
      </c>
      <c r="B216">
        <v>221001968</v>
      </c>
      <c r="C216" t="s">
        <v>1348</v>
      </c>
      <c r="D216" t="s">
        <v>1607</v>
      </c>
      <c r="E216" t="s">
        <v>1608</v>
      </c>
      <c r="F216">
        <v>3.35</v>
      </c>
      <c r="G216">
        <v>103</v>
      </c>
      <c r="J216" t="e">
        <f>VLOOKUP(B216,'ALL Projects'!$A$2:$C665,2,0)</f>
        <v>#N/A</v>
      </c>
    </row>
    <row r="217" spans="1:10">
      <c r="A217">
        <v>216</v>
      </c>
      <c r="B217">
        <v>202001427</v>
      </c>
      <c r="C217" t="s">
        <v>1348</v>
      </c>
      <c r="D217" t="s">
        <v>1609</v>
      </c>
      <c r="E217" t="s">
        <v>1610</v>
      </c>
      <c r="F217">
        <v>2.59</v>
      </c>
      <c r="G217">
        <v>102</v>
      </c>
      <c r="J217" t="e">
        <f>VLOOKUP(B217,'ALL Projects'!$A$2:$C666,2,0)</f>
        <v>#N/A</v>
      </c>
    </row>
    <row r="218" spans="1:10">
      <c r="A218">
        <v>217</v>
      </c>
      <c r="B218">
        <v>221000093</v>
      </c>
      <c r="C218" t="s">
        <v>1348</v>
      </c>
      <c r="D218" t="s">
        <v>1611</v>
      </c>
      <c r="E218" t="s">
        <v>1612</v>
      </c>
      <c r="F218">
        <v>4</v>
      </c>
      <c r="G218">
        <v>102</v>
      </c>
      <c r="J218" t="e">
        <f>VLOOKUP(B218,'ALL Projects'!$A$2:$C667,2,0)</f>
        <v>#N/A</v>
      </c>
    </row>
    <row r="219" spans="1:10">
      <c r="A219">
        <v>218</v>
      </c>
      <c r="B219">
        <v>221000508</v>
      </c>
      <c r="C219" t="s">
        <v>1348</v>
      </c>
      <c r="D219" t="s">
        <v>1613</v>
      </c>
      <c r="E219" t="s">
        <v>1614</v>
      </c>
      <c r="F219">
        <v>2.94</v>
      </c>
      <c r="G219">
        <v>102</v>
      </c>
      <c r="J219" t="e">
        <f>VLOOKUP(B219,'ALL Projects'!$A$2:$C668,2,0)</f>
        <v>#N/A</v>
      </c>
    </row>
    <row r="220" spans="1:10">
      <c r="A220">
        <v>219</v>
      </c>
      <c r="B220">
        <v>221000635</v>
      </c>
      <c r="C220" t="s">
        <v>1348</v>
      </c>
      <c r="D220" t="s">
        <v>1615</v>
      </c>
      <c r="E220" t="s">
        <v>1616</v>
      </c>
      <c r="F220">
        <v>3.48</v>
      </c>
      <c r="G220">
        <v>102</v>
      </c>
      <c r="J220" t="e">
        <f>VLOOKUP(B220,'ALL Projects'!$A$2:$C669,2,0)</f>
        <v>#N/A</v>
      </c>
    </row>
    <row r="221" spans="1:10">
      <c r="A221">
        <v>220</v>
      </c>
      <c r="B221">
        <v>221000718</v>
      </c>
      <c r="C221" t="s">
        <v>1348</v>
      </c>
      <c r="D221" t="s">
        <v>1617</v>
      </c>
      <c r="E221" t="s">
        <v>1618</v>
      </c>
      <c r="F221">
        <v>2.74</v>
      </c>
      <c r="G221">
        <v>102</v>
      </c>
      <c r="J221" t="e">
        <f>VLOOKUP(B221,'ALL Projects'!$A$2:$C670,2,0)</f>
        <v>#N/A</v>
      </c>
    </row>
    <row r="222" spans="1:10">
      <c r="A222">
        <v>221</v>
      </c>
      <c r="B222">
        <v>221000998</v>
      </c>
      <c r="C222" t="s">
        <v>1348</v>
      </c>
      <c r="D222" t="s">
        <v>1619</v>
      </c>
      <c r="E222" t="s">
        <v>1620</v>
      </c>
      <c r="F222">
        <v>2.92</v>
      </c>
      <c r="G222">
        <v>102</v>
      </c>
      <c r="J222" t="e">
        <f>VLOOKUP(B222,'ALL Projects'!$A$2:$C671,2,0)</f>
        <v>#N/A</v>
      </c>
    </row>
    <row r="223" spans="1:10">
      <c r="A223">
        <v>222</v>
      </c>
      <c r="B223">
        <v>221001124</v>
      </c>
      <c r="C223" t="s">
        <v>1348</v>
      </c>
      <c r="D223" t="s">
        <v>1621</v>
      </c>
      <c r="E223" t="s">
        <v>1622</v>
      </c>
      <c r="F223">
        <v>3.05</v>
      </c>
      <c r="G223">
        <v>102</v>
      </c>
      <c r="J223" t="e">
        <f>VLOOKUP(B223,'ALL Projects'!$A$2:$C672,2,0)</f>
        <v>#N/A</v>
      </c>
    </row>
    <row r="224" spans="1:10">
      <c r="A224">
        <v>223</v>
      </c>
      <c r="B224">
        <v>221001311</v>
      </c>
      <c r="C224" t="s">
        <v>1348</v>
      </c>
      <c r="D224" t="s">
        <v>1623</v>
      </c>
      <c r="E224" t="s">
        <v>1624</v>
      </c>
      <c r="F224">
        <v>3.22</v>
      </c>
      <c r="G224">
        <v>102</v>
      </c>
      <c r="J224" t="e">
        <f>VLOOKUP(B224,'ALL Projects'!$A$2:$C673,2,0)</f>
        <v>#N/A</v>
      </c>
    </row>
    <row r="225" spans="1:10">
      <c r="A225">
        <v>224</v>
      </c>
      <c r="B225">
        <v>221001359</v>
      </c>
      <c r="C225" t="s">
        <v>1348</v>
      </c>
      <c r="D225" t="s">
        <v>1625</v>
      </c>
      <c r="E225" t="s">
        <v>1626</v>
      </c>
      <c r="F225">
        <v>3.18</v>
      </c>
      <c r="G225">
        <v>102</v>
      </c>
      <c r="J225" t="e">
        <f>VLOOKUP(B225,'ALL Projects'!$A$2:$C674,2,0)</f>
        <v>#N/A</v>
      </c>
    </row>
    <row r="226" spans="1:10">
      <c r="A226">
        <v>225</v>
      </c>
      <c r="B226">
        <v>221001693</v>
      </c>
      <c r="C226" t="s">
        <v>1348</v>
      </c>
      <c r="D226" t="s">
        <v>1627</v>
      </c>
      <c r="E226" t="s">
        <v>1628</v>
      </c>
      <c r="F226">
        <v>3.86</v>
      </c>
      <c r="G226">
        <v>102</v>
      </c>
      <c r="J226" t="e">
        <f>VLOOKUP(B226,'ALL Projects'!$A$2:$C675,2,0)</f>
        <v>#N/A</v>
      </c>
    </row>
    <row r="227" spans="1:10">
      <c r="A227">
        <v>226</v>
      </c>
      <c r="B227">
        <v>221001759</v>
      </c>
      <c r="C227" t="s">
        <v>1348</v>
      </c>
      <c r="D227" t="s">
        <v>1629</v>
      </c>
      <c r="E227" t="s">
        <v>1630</v>
      </c>
      <c r="F227">
        <v>3.06</v>
      </c>
      <c r="G227">
        <v>102</v>
      </c>
      <c r="J227" t="e">
        <f>VLOOKUP(B227,'ALL Projects'!$A$2:$C676,2,0)</f>
        <v>#N/A</v>
      </c>
    </row>
    <row r="228" spans="1:10">
      <c r="A228">
        <v>227</v>
      </c>
      <c r="B228">
        <v>221001776</v>
      </c>
      <c r="C228" t="s">
        <v>1348</v>
      </c>
      <c r="D228" t="s">
        <v>1631</v>
      </c>
      <c r="E228" t="s">
        <v>1632</v>
      </c>
      <c r="F228">
        <v>3.42</v>
      </c>
      <c r="G228">
        <v>102</v>
      </c>
      <c r="J228" t="e">
        <f>VLOOKUP(B228,'ALL Projects'!$A$2:$C677,2,0)</f>
        <v>#N/A</v>
      </c>
    </row>
    <row r="229" spans="1:10">
      <c r="A229">
        <v>228</v>
      </c>
      <c r="B229">
        <v>221001854</v>
      </c>
      <c r="C229" t="s">
        <v>1348</v>
      </c>
      <c r="D229" t="s">
        <v>1633</v>
      </c>
      <c r="E229" t="s">
        <v>1634</v>
      </c>
      <c r="F229">
        <v>2.44</v>
      </c>
      <c r="G229">
        <v>102</v>
      </c>
      <c r="J229" t="e">
        <f>VLOOKUP(B229,'ALL Projects'!$A$2:$C678,2,0)</f>
        <v>#N/A</v>
      </c>
    </row>
    <row r="230" spans="1:10">
      <c r="A230">
        <v>229</v>
      </c>
      <c r="B230">
        <v>221001918</v>
      </c>
      <c r="C230" t="s">
        <v>1348</v>
      </c>
      <c r="D230" t="s">
        <v>1635</v>
      </c>
      <c r="E230" t="s">
        <v>1636</v>
      </c>
      <c r="F230">
        <v>2.62</v>
      </c>
      <c r="G230">
        <v>102</v>
      </c>
      <c r="J230" t="e">
        <f>VLOOKUP(B230,'ALL Projects'!$A$2:$C679,2,0)</f>
        <v>#N/A</v>
      </c>
    </row>
    <row r="231" spans="1:10">
      <c r="A231">
        <v>230</v>
      </c>
      <c r="B231">
        <v>221001995</v>
      </c>
      <c r="C231" t="s">
        <v>1348</v>
      </c>
      <c r="D231" t="s">
        <v>1637</v>
      </c>
      <c r="E231" t="s">
        <v>1638</v>
      </c>
      <c r="F231">
        <v>2.71</v>
      </c>
      <c r="G231">
        <v>102</v>
      </c>
      <c r="J231" t="e">
        <f>VLOOKUP(B231,'ALL Projects'!$A$2:$C680,2,0)</f>
        <v>#N/A</v>
      </c>
    </row>
    <row r="232" spans="1:10">
      <c r="A232">
        <v>231</v>
      </c>
      <c r="B232">
        <v>221002161</v>
      </c>
      <c r="C232" t="s">
        <v>1348</v>
      </c>
      <c r="D232" t="s">
        <v>1639</v>
      </c>
      <c r="E232" t="s">
        <v>1640</v>
      </c>
      <c r="F232">
        <v>2.87</v>
      </c>
      <c r="G232">
        <v>102</v>
      </c>
      <c r="J232" t="e">
        <f>VLOOKUP(B232,'ALL Projects'!$A$2:$C681,2,0)</f>
        <v>#N/A</v>
      </c>
    </row>
    <row r="233" spans="1:10">
      <c r="A233">
        <v>232</v>
      </c>
      <c r="B233">
        <v>221002163</v>
      </c>
      <c r="C233" t="s">
        <v>1348</v>
      </c>
      <c r="D233" t="s">
        <v>1641</v>
      </c>
      <c r="E233" t="s">
        <v>1642</v>
      </c>
      <c r="F233">
        <v>3.28</v>
      </c>
      <c r="G233">
        <v>102</v>
      </c>
      <c r="J233" t="e">
        <f>VLOOKUP(B233,'ALL Projects'!$A$2:$C682,2,0)</f>
        <v>#N/A</v>
      </c>
    </row>
    <row r="234" spans="1:10">
      <c r="A234">
        <v>233</v>
      </c>
      <c r="B234">
        <v>221002170</v>
      </c>
      <c r="C234" t="s">
        <v>1348</v>
      </c>
      <c r="D234" t="s">
        <v>1643</v>
      </c>
      <c r="E234" t="s">
        <v>1644</v>
      </c>
      <c r="F234">
        <v>3.74</v>
      </c>
      <c r="G234">
        <v>102</v>
      </c>
      <c r="J234" t="e">
        <f>VLOOKUP(B234,'ALL Projects'!$A$2:$C683,2,0)</f>
        <v>#N/A</v>
      </c>
    </row>
    <row r="235" spans="1:10">
      <c r="A235">
        <v>234</v>
      </c>
      <c r="B235">
        <v>221002193</v>
      </c>
      <c r="C235" t="s">
        <v>1348</v>
      </c>
      <c r="D235" t="s">
        <v>1645</v>
      </c>
      <c r="E235" t="s">
        <v>1646</v>
      </c>
      <c r="F235">
        <v>3.58</v>
      </c>
      <c r="G235">
        <v>102</v>
      </c>
      <c r="J235" t="e">
        <f>VLOOKUP(B235,'ALL Projects'!$A$2:$C684,2,0)</f>
        <v>#N/A</v>
      </c>
    </row>
    <row r="236" spans="1:10">
      <c r="A236">
        <v>235</v>
      </c>
      <c r="B236">
        <v>211000837</v>
      </c>
      <c r="C236" t="s">
        <v>1348</v>
      </c>
      <c r="D236" t="s">
        <v>1647</v>
      </c>
      <c r="E236" t="s">
        <v>1648</v>
      </c>
      <c r="F236">
        <v>1.91</v>
      </c>
      <c r="G236">
        <v>101</v>
      </c>
      <c r="J236" t="e">
        <f>VLOOKUP(B236,'ALL Projects'!$A$2:$C685,2,0)</f>
        <v>#N/A</v>
      </c>
    </row>
    <row r="237" spans="1:10">
      <c r="A237">
        <v>236</v>
      </c>
      <c r="B237">
        <v>221000682</v>
      </c>
      <c r="C237" t="s">
        <v>1348</v>
      </c>
      <c r="D237" t="s">
        <v>1649</v>
      </c>
      <c r="E237" t="s">
        <v>1650</v>
      </c>
      <c r="F237">
        <v>2.4700000000000002</v>
      </c>
      <c r="G237">
        <v>101</v>
      </c>
      <c r="J237" t="e">
        <f>VLOOKUP(B237,'ALL Projects'!$A$2:$C686,2,0)</f>
        <v>#N/A</v>
      </c>
    </row>
    <row r="238" spans="1:10">
      <c r="A238">
        <v>237</v>
      </c>
      <c r="B238">
        <v>221000807</v>
      </c>
      <c r="C238" t="s">
        <v>1348</v>
      </c>
      <c r="D238" t="s">
        <v>1651</v>
      </c>
      <c r="E238" t="s">
        <v>1652</v>
      </c>
      <c r="F238">
        <v>2.96</v>
      </c>
      <c r="G238">
        <v>101</v>
      </c>
      <c r="J238" t="e">
        <f>VLOOKUP(B238,'ALL Projects'!$A$2:$C687,2,0)</f>
        <v>#N/A</v>
      </c>
    </row>
    <row r="239" spans="1:10">
      <c r="A239">
        <v>238</v>
      </c>
      <c r="B239">
        <v>221000898</v>
      </c>
      <c r="C239" t="s">
        <v>1348</v>
      </c>
      <c r="D239" t="s">
        <v>1653</v>
      </c>
      <c r="E239" t="s">
        <v>1654</v>
      </c>
      <c r="F239">
        <v>2.52</v>
      </c>
      <c r="G239">
        <v>101</v>
      </c>
      <c r="J239" t="e">
        <f>VLOOKUP(B239,'ALL Projects'!$A$2:$C688,2,0)</f>
        <v>#N/A</v>
      </c>
    </row>
    <row r="240" spans="1:10">
      <c r="A240">
        <v>239</v>
      </c>
      <c r="B240">
        <v>221000902</v>
      </c>
      <c r="C240" t="s">
        <v>1348</v>
      </c>
      <c r="D240" t="s">
        <v>1655</v>
      </c>
      <c r="E240" t="s">
        <v>1656</v>
      </c>
      <c r="F240">
        <v>2.48</v>
      </c>
      <c r="G240">
        <v>101</v>
      </c>
      <c r="J240" t="e">
        <f>VLOOKUP(B240,'ALL Projects'!$A$2:$C689,2,0)</f>
        <v>#N/A</v>
      </c>
    </row>
    <row r="241" spans="1:10">
      <c r="A241">
        <v>240</v>
      </c>
      <c r="B241">
        <v>221001423</v>
      </c>
      <c r="C241" t="s">
        <v>1348</v>
      </c>
      <c r="D241" t="s">
        <v>1657</v>
      </c>
      <c r="E241" t="s">
        <v>1658</v>
      </c>
      <c r="F241">
        <v>2.42</v>
      </c>
      <c r="G241">
        <v>101</v>
      </c>
      <c r="J241" t="e">
        <f>VLOOKUP(B241,'ALL Projects'!$A$2:$C690,2,0)</f>
        <v>#N/A</v>
      </c>
    </row>
    <row r="242" spans="1:10">
      <c r="A242">
        <v>241</v>
      </c>
      <c r="B242">
        <v>221001540</v>
      </c>
      <c r="C242" t="s">
        <v>1348</v>
      </c>
      <c r="D242" t="s">
        <v>1659</v>
      </c>
      <c r="E242" t="s">
        <v>1660</v>
      </c>
      <c r="F242">
        <v>2.76</v>
      </c>
      <c r="G242">
        <v>101</v>
      </c>
      <c r="J242" t="e">
        <f>VLOOKUP(B242,'ALL Projects'!$A$2:$C691,2,0)</f>
        <v>#N/A</v>
      </c>
    </row>
    <row r="243" spans="1:10">
      <c r="A243">
        <v>242</v>
      </c>
      <c r="B243">
        <v>221001912</v>
      </c>
      <c r="C243" t="s">
        <v>1348</v>
      </c>
      <c r="D243" t="s">
        <v>1661</v>
      </c>
      <c r="E243" t="s">
        <v>1662</v>
      </c>
      <c r="F243">
        <v>3.24</v>
      </c>
      <c r="G243">
        <v>101</v>
      </c>
      <c r="J243" t="e">
        <f>VLOOKUP(B243,'ALL Projects'!$A$2:$C692,2,0)</f>
        <v>#N/A</v>
      </c>
    </row>
    <row r="244" spans="1:10">
      <c r="A244">
        <v>243</v>
      </c>
      <c r="B244">
        <v>221001916</v>
      </c>
      <c r="C244" t="s">
        <v>1348</v>
      </c>
      <c r="D244" t="s">
        <v>1663</v>
      </c>
      <c r="E244" t="s">
        <v>1664</v>
      </c>
      <c r="F244">
        <v>2.77</v>
      </c>
      <c r="G244">
        <v>101</v>
      </c>
      <c r="J244" t="e">
        <f>VLOOKUP(B244,'ALL Projects'!$A$2:$C693,2,0)</f>
        <v>#N/A</v>
      </c>
    </row>
    <row r="245" spans="1:10">
      <c r="A245">
        <v>244</v>
      </c>
      <c r="B245">
        <v>221002165</v>
      </c>
      <c r="C245" t="s">
        <v>1348</v>
      </c>
      <c r="D245" t="s">
        <v>1665</v>
      </c>
      <c r="E245" t="s">
        <v>1666</v>
      </c>
      <c r="F245">
        <v>3.44</v>
      </c>
      <c r="G245">
        <v>101</v>
      </c>
      <c r="J245" t="e">
        <f>VLOOKUP(B245,'ALL Projects'!$A$2:$C694,2,0)</f>
        <v>#N/A</v>
      </c>
    </row>
    <row r="246" spans="1:10">
      <c r="A246">
        <v>245</v>
      </c>
      <c r="B246">
        <v>221000995</v>
      </c>
      <c r="C246" t="s">
        <v>1348</v>
      </c>
      <c r="D246" t="s">
        <v>1667</v>
      </c>
      <c r="E246" t="s">
        <v>1668</v>
      </c>
      <c r="F246">
        <v>3.09</v>
      </c>
      <c r="G246">
        <v>100</v>
      </c>
      <c r="J246" t="e">
        <f>VLOOKUP(B246,'ALL Projects'!$A$2:$C695,2,0)</f>
        <v>#N/A</v>
      </c>
    </row>
    <row r="247" spans="1:10">
      <c r="A247">
        <v>246</v>
      </c>
      <c r="B247">
        <v>221001799</v>
      </c>
      <c r="C247" t="s">
        <v>1348</v>
      </c>
      <c r="D247" t="s">
        <v>1669</v>
      </c>
      <c r="E247" t="s">
        <v>1670</v>
      </c>
      <c r="F247">
        <v>3.47</v>
      </c>
      <c r="G247">
        <v>100</v>
      </c>
      <c r="J247" t="e">
        <f>VLOOKUP(B247,'ALL Projects'!$A$2:$C696,2,0)</f>
        <v>#N/A</v>
      </c>
    </row>
    <row r="248" spans="1:10">
      <c r="A248">
        <v>247</v>
      </c>
      <c r="B248">
        <v>221001986</v>
      </c>
      <c r="C248" t="s">
        <v>1348</v>
      </c>
      <c r="D248" t="s">
        <v>1671</v>
      </c>
      <c r="E248" t="s">
        <v>1672</v>
      </c>
      <c r="F248">
        <v>2.14</v>
      </c>
      <c r="G248">
        <v>100</v>
      </c>
      <c r="J248" t="e">
        <f>VLOOKUP(B248,'ALL Projects'!$A$2:$C697,2,0)</f>
        <v>#N/A</v>
      </c>
    </row>
    <row r="249" spans="1:10">
      <c r="A249">
        <v>248</v>
      </c>
      <c r="B249">
        <v>221000152</v>
      </c>
      <c r="C249" t="s">
        <v>1348</v>
      </c>
      <c r="D249" t="s">
        <v>1673</v>
      </c>
      <c r="E249" t="s">
        <v>1674</v>
      </c>
      <c r="F249">
        <v>2.2599999999999998</v>
      </c>
      <c r="G249">
        <v>99</v>
      </c>
      <c r="J249" t="e">
        <f>VLOOKUP(B249,'ALL Projects'!$A$2:$C698,2,0)</f>
        <v>#N/A</v>
      </c>
    </row>
    <row r="250" spans="1:10">
      <c r="A250">
        <v>249</v>
      </c>
      <c r="B250">
        <v>221000268</v>
      </c>
      <c r="C250" t="s">
        <v>1348</v>
      </c>
      <c r="D250" t="s">
        <v>1675</v>
      </c>
      <c r="E250" t="s">
        <v>1676</v>
      </c>
      <c r="F250">
        <v>2.66</v>
      </c>
      <c r="G250">
        <v>99</v>
      </c>
      <c r="J250" t="e">
        <f>VLOOKUP(B250,'ALL Projects'!$A$2:$C699,2,0)</f>
        <v>#N/A</v>
      </c>
    </row>
    <row r="251" spans="1:10">
      <c r="A251">
        <v>250</v>
      </c>
      <c r="B251">
        <v>221000351</v>
      </c>
      <c r="C251" t="s">
        <v>1348</v>
      </c>
      <c r="D251" t="s">
        <v>1677</v>
      </c>
      <c r="E251" t="s">
        <v>1678</v>
      </c>
      <c r="F251">
        <v>2.4300000000000002</v>
      </c>
      <c r="G251">
        <v>99</v>
      </c>
      <c r="J251" t="e">
        <f>VLOOKUP(B251,'ALL Projects'!$A$2:$C700,2,0)</f>
        <v>#N/A</v>
      </c>
    </row>
    <row r="252" spans="1:10">
      <c r="A252">
        <v>251</v>
      </c>
      <c r="B252">
        <v>221000447</v>
      </c>
      <c r="C252" t="s">
        <v>1348</v>
      </c>
      <c r="D252" t="s">
        <v>1679</v>
      </c>
      <c r="E252" t="s">
        <v>1680</v>
      </c>
      <c r="F252">
        <v>2.62</v>
      </c>
      <c r="G252">
        <v>99</v>
      </c>
      <c r="J252" t="e">
        <f>VLOOKUP(B252,'ALL Projects'!$A$2:$C701,2,0)</f>
        <v>#N/A</v>
      </c>
    </row>
    <row r="253" spans="1:10">
      <c r="A253">
        <v>252</v>
      </c>
      <c r="B253">
        <v>221000769</v>
      </c>
      <c r="C253" t="s">
        <v>1348</v>
      </c>
      <c r="D253" t="s">
        <v>786</v>
      </c>
      <c r="E253" t="s">
        <v>1681</v>
      </c>
      <c r="F253">
        <v>2.4700000000000002</v>
      </c>
      <c r="G253">
        <v>99</v>
      </c>
      <c r="J253" t="str">
        <f>VLOOKUP(B253,'ALL Projects'!$A$2:$C702,2,0)</f>
        <v>Ahmed Usama Tiba</v>
      </c>
    </row>
    <row r="254" spans="1:10">
      <c r="A254">
        <v>253</v>
      </c>
      <c r="B254">
        <v>221001161</v>
      </c>
      <c r="C254" t="s">
        <v>1348</v>
      </c>
      <c r="D254" t="s">
        <v>1682</v>
      </c>
      <c r="E254" t="s">
        <v>1683</v>
      </c>
      <c r="F254">
        <v>2.46</v>
      </c>
      <c r="G254">
        <v>99</v>
      </c>
      <c r="J254" t="e">
        <f>VLOOKUP(B254,'ALL Projects'!$A$2:$C703,2,0)</f>
        <v>#N/A</v>
      </c>
    </row>
    <row r="255" spans="1:10">
      <c r="A255">
        <v>254</v>
      </c>
      <c r="B255">
        <v>221001284</v>
      </c>
      <c r="C255" t="s">
        <v>1348</v>
      </c>
      <c r="D255" t="s">
        <v>1684</v>
      </c>
      <c r="E255" t="s">
        <v>1685</v>
      </c>
      <c r="F255">
        <v>2.4500000000000002</v>
      </c>
      <c r="G255">
        <v>99</v>
      </c>
      <c r="J255" t="e">
        <f>VLOOKUP(B255,'ALL Projects'!$A$2:$C704,2,0)</f>
        <v>#N/A</v>
      </c>
    </row>
    <row r="256" spans="1:10">
      <c r="A256">
        <v>255</v>
      </c>
      <c r="B256">
        <v>221001447</v>
      </c>
      <c r="C256" t="s">
        <v>1348</v>
      </c>
      <c r="D256" t="s">
        <v>1686</v>
      </c>
      <c r="E256" t="s">
        <v>1687</v>
      </c>
      <c r="F256">
        <v>2.56</v>
      </c>
      <c r="G256">
        <v>99</v>
      </c>
      <c r="J256" t="e">
        <f>VLOOKUP(B256,'ALL Projects'!$A$2:$C705,2,0)</f>
        <v>#N/A</v>
      </c>
    </row>
    <row r="257" spans="1:10">
      <c r="A257">
        <v>256</v>
      </c>
      <c r="B257">
        <v>221001602</v>
      </c>
      <c r="C257" t="s">
        <v>1348</v>
      </c>
      <c r="D257" t="s">
        <v>1688</v>
      </c>
      <c r="E257" t="s">
        <v>1689</v>
      </c>
      <c r="F257">
        <v>2.33</v>
      </c>
      <c r="G257">
        <v>99</v>
      </c>
      <c r="J257" t="e">
        <f>VLOOKUP(B257,'ALL Projects'!$A$2:$C706,2,0)</f>
        <v>#N/A</v>
      </c>
    </row>
    <row r="258" spans="1:10">
      <c r="A258">
        <v>257</v>
      </c>
      <c r="B258">
        <v>221001625</v>
      </c>
      <c r="C258" t="s">
        <v>1348</v>
      </c>
      <c r="D258" t="s">
        <v>1690</v>
      </c>
      <c r="E258" t="s">
        <v>1691</v>
      </c>
      <c r="F258">
        <v>3.02</v>
      </c>
      <c r="G258">
        <v>99</v>
      </c>
      <c r="J258" t="e">
        <f>VLOOKUP(B258,'ALL Projects'!$A$2:$C707,2,0)</f>
        <v>#N/A</v>
      </c>
    </row>
    <row r="259" spans="1:10">
      <c r="A259">
        <v>258</v>
      </c>
      <c r="B259">
        <v>221001755</v>
      </c>
      <c r="C259" t="s">
        <v>1348</v>
      </c>
      <c r="D259" t="s">
        <v>1692</v>
      </c>
      <c r="E259" t="s">
        <v>1693</v>
      </c>
      <c r="F259">
        <v>2.41</v>
      </c>
      <c r="G259">
        <v>99</v>
      </c>
      <c r="J259" t="e">
        <f>VLOOKUP(B259,'ALL Projects'!$A$2:$C708,2,0)</f>
        <v>#N/A</v>
      </c>
    </row>
    <row r="260" spans="1:10">
      <c r="A260">
        <v>259</v>
      </c>
      <c r="B260">
        <v>221001807</v>
      </c>
      <c r="C260" t="s">
        <v>1348</v>
      </c>
      <c r="D260" t="s">
        <v>1694</v>
      </c>
      <c r="E260" t="s">
        <v>1695</v>
      </c>
      <c r="F260">
        <v>2.72</v>
      </c>
      <c r="G260">
        <v>99</v>
      </c>
      <c r="J260" t="e">
        <f>VLOOKUP(B260,'ALL Projects'!$A$2:$C709,2,0)</f>
        <v>#N/A</v>
      </c>
    </row>
    <row r="261" spans="1:10">
      <c r="A261">
        <v>260</v>
      </c>
      <c r="B261">
        <v>221001843</v>
      </c>
      <c r="C261" t="s">
        <v>1348</v>
      </c>
      <c r="D261" t="s">
        <v>1696</v>
      </c>
      <c r="E261" t="s">
        <v>1697</v>
      </c>
      <c r="F261">
        <v>3.08</v>
      </c>
      <c r="G261">
        <v>99</v>
      </c>
      <c r="J261" t="e">
        <f>VLOOKUP(B261,'ALL Projects'!$A$2:$C710,2,0)</f>
        <v>#N/A</v>
      </c>
    </row>
    <row r="262" spans="1:10">
      <c r="A262">
        <v>261</v>
      </c>
      <c r="B262">
        <v>221001851</v>
      </c>
      <c r="C262" t="s">
        <v>1348</v>
      </c>
      <c r="D262" t="s">
        <v>1698</v>
      </c>
      <c r="E262" t="s">
        <v>1699</v>
      </c>
      <c r="F262">
        <v>2.52</v>
      </c>
      <c r="G262">
        <v>99</v>
      </c>
      <c r="J262" t="e">
        <f>VLOOKUP(B262,'ALL Projects'!$A$2:$C711,2,0)</f>
        <v>#N/A</v>
      </c>
    </row>
    <row r="263" spans="1:10">
      <c r="A263">
        <v>262</v>
      </c>
      <c r="B263">
        <v>221001875</v>
      </c>
      <c r="C263" t="s">
        <v>1348</v>
      </c>
      <c r="D263" t="s">
        <v>1700</v>
      </c>
      <c r="E263" t="s">
        <v>1701</v>
      </c>
      <c r="F263">
        <v>2.5299999999999998</v>
      </c>
      <c r="G263">
        <v>99</v>
      </c>
      <c r="J263" t="e">
        <f>VLOOKUP(B263,'ALL Projects'!$A$2:$C712,2,0)</f>
        <v>#N/A</v>
      </c>
    </row>
    <row r="264" spans="1:10">
      <c r="A264">
        <v>263</v>
      </c>
      <c r="B264">
        <v>221001971</v>
      </c>
      <c r="C264" t="s">
        <v>1348</v>
      </c>
      <c r="D264" t="s">
        <v>1702</v>
      </c>
      <c r="E264" t="s">
        <v>1703</v>
      </c>
      <c r="F264">
        <v>2.3199999999999998</v>
      </c>
      <c r="G264">
        <v>99</v>
      </c>
      <c r="J264" t="e">
        <f>VLOOKUP(B264,'ALL Projects'!$A$2:$C713,2,0)</f>
        <v>#N/A</v>
      </c>
    </row>
    <row r="265" spans="1:10">
      <c r="A265">
        <v>264</v>
      </c>
      <c r="B265">
        <v>222000064</v>
      </c>
      <c r="C265" t="s">
        <v>1348</v>
      </c>
      <c r="D265" t="s">
        <v>1704</v>
      </c>
      <c r="E265" t="s">
        <v>1705</v>
      </c>
      <c r="F265">
        <v>3.09</v>
      </c>
      <c r="G265">
        <v>99</v>
      </c>
      <c r="J265" t="e">
        <f>VLOOKUP(B265,'ALL Projects'!$A$2:$C714,2,0)</f>
        <v>#N/A</v>
      </c>
    </row>
    <row r="266" spans="1:10">
      <c r="A266">
        <v>265</v>
      </c>
      <c r="B266">
        <v>202001647</v>
      </c>
      <c r="C266" t="s">
        <v>1348</v>
      </c>
      <c r="D266" t="s">
        <v>1706</v>
      </c>
      <c r="E266" t="s">
        <v>785</v>
      </c>
      <c r="F266">
        <v>1.83</v>
      </c>
      <c r="G266">
        <v>98</v>
      </c>
      <c r="J266" t="str">
        <f>VLOOKUP(B266,'ALL Projects'!$A$2:$C715,2,0)</f>
        <v>Mohamed Abdallah Semary</v>
      </c>
    </row>
    <row r="267" spans="1:10">
      <c r="A267">
        <v>266</v>
      </c>
      <c r="B267">
        <v>202002082</v>
      </c>
      <c r="C267" t="s">
        <v>1348</v>
      </c>
      <c r="D267" t="s">
        <v>1707</v>
      </c>
      <c r="E267" t="s">
        <v>1708</v>
      </c>
      <c r="F267">
        <v>1.96</v>
      </c>
      <c r="G267">
        <v>98</v>
      </c>
      <c r="J267" t="e">
        <f>VLOOKUP(B267,'ALL Projects'!$A$2:$C716,2,0)</f>
        <v>#N/A</v>
      </c>
    </row>
    <row r="268" spans="1:10">
      <c r="A268">
        <v>267</v>
      </c>
      <c r="B268">
        <v>202002544</v>
      </c>
      <c r="C268" t="s">
        <v>1348</v>
      </c>
      <c r="D268" t="s">
        <v>1709</v>
      </c>
      <c r="E268" t="s">
        <v>1710</v>
      </c>
      <c r="F268">
        <v>2.04</v>
      </c>
      <c r="G268">
        <v>98</v>
      </c>
      <c r="J268" t="e">
        <f>VLOOKUP(B268,'ALL Projects'!$A$2:$C717,2,0)</f>
        <v>#N/A</v>
      </c>
    </row>
    <row r="269" spans="1:10">
      <c r="A269">
        <v>268</v>
      </c>
      <c r="B269">
        <v>211000096</v>
      </c>
      <c r="C269" t="s">
        <v>1348</v>
      </c>
      <c r="D269" t="s">
        <v>1711</v>
      </c>
      <c r="E269" t="s">
        <v>1712</v>
      </c>
      <c r="F269">
        <v>1.91</v>
      </c>
      <c r="G269">
        <v>98</v>
      </c>
      <c r="J269" t="e">
        <f>VLOOKUP(B269,'ALL Projects'!$A$2:$C718,2,0)</f>
        <v>#N/A</v>
      </c>
    </row>
    <row r="270" spans="1:10">
      <c r="A270">
        <v>269</v>
      </c>
      <c r="B270">
        <v>211001941</v>
      </c>
      <c r="C270" t="s">
        <v>1348</v>
      </c>
      <c r="D270" t="s">
        <v>1713</v>
      </c>
      <c r="E270" t="s">
        <v>1714</v>
      </c>
      <c r="F270">
        <v>2.42</v>
      </c>
      <c r="G270">
        <v>98</v>
      </c>
      <c r="J270" t="e">
        <f>VLOOKUP(B270,'ALL Projects'!$A$2:$C719,2,0)</f>
        <v>#N/A</v>
      </c>
    </row>
    <row r="271" spans="1:10">
      <c r="A271">
        <v>270</v>
      </c>
      <c r="B271">
        <v>221000739</v>
      </c>
      <c r="C271" t="s">
        <v>1348</v>
      </c>
      <c r="D271" t="s">
        <v>1715</v>
      </c>
      <c r="E271" t="s">
        <v>1716</v>
      </c>
      <c r="F271">
        <v>2.64</v>
      </c>
      <c r="G271">
        <v>98</v>
      </c>
      <c r="J271" t="e">
        <f>VLOOKUP(B271,'ALL Projects'!$A$2:$C720,2,0)</f>
        <v>#N/A</v>
      </c>
    </row>
    <row r="272" spans="1:10">
      <c r="A272">
        <v>271</v>
      </c>
      <c r="B272">
        <v>221000750</v>
      </c>
      <c r="C272" t="s">
        <v>1348</v>
      </c>
      <c r="D272" t="s">
        <v>1717</v>
      </c>
      <c r="E272" t="s">
        <v>1718</v>
      </c>
      <c r="F272">
        <v>2.14</v>
      </c>
      <c r="G272">
        <v>98</v>
      </c>
      <c r="J272" t="e">
        <f>VLOOKUP(B272,'ALL Projects'!$A$2:$C721,2,0)</f>
        <v>#N/A</v>
      </c>
    </row>
    <row r="273" spans="1:10">
      <c r="A273">
        <v>272</v>
      </c>
      <c r="B273">
        <v>221001448</v>
      </c>
      <c r="C273" t="s">
        <v>1348</v>
      </c>
      <c r="D273" t="s">
        <v>1719</v>
      </c>
      <c r="E273" t="s">
        <v>1720</v>
      </c>
      <c r="F273">
        <v>2.4500000000000002</v>
      </c>
      <c r="G273">
        <v>98</v>
      </c>
      <c r="J273" t="e">
        <f>VLOOKUP(B273,'ALL Projects'!$A$2:$C722,2,0)</f>
        <v>#N/A</v>
      </c>
    </row>
    <row r="274" spans="1:10">
      <c r="A274">
        <v>273</v>
      </c>
      <c r="B274">
        <v>221001842</v>
      </c>
      <c r="C274" t="s">
        <v>1348</v>
      </c>
      <c r="D274" t="s">
        <v>1721</v>
      </c>
      <c r="E274" t="s">
        <v>1722</v>
      </c>
      <c r="F274">
        <v>2.59</v>
      </c>
      <c r="G274">
        <v>98</v>
      </c>
      <c r="J274" t="e">
        <f>VLOOKUP(B274,'ALL Projects'!$A$2:$C723,2,0)</f>
        <v>#N/A</v>
      </c>
    </row>
    <row r="275" spans="1:10">
      <c r="A275">
        <v>274</v>
      </c>
      <c r="B275">
        <v>221001850</v>
      </c>
      <c r="C275" t="s">
        <v>1348</v>
      </c>
      <c r="D275" t="s">
        <v>1723</v>
      </c>
      <c r="E275" t="s">
        <v>1724</v>
      </c>
      <c r="F275">
        <v>4</v>
      </c>
      <c r="G275">
        <v>98</v>
      </c>
      <c r="J275" t="e">
        <f>VLOOKUP(B275,'ALL Projects'!$A$2:$C724,2,0)</f>
        <v>#N/A</v>
      </c>
    </row>
    <row r="276" spans="1:10">
      <c r="A276">
        <v>275</v>
      </c>
      <c r="B276">
        <v>221001964</v>
      </c>
      <c r="C276" t="s">
        <v>1348</v>
      </c>
      <c r="D276" t="s">
        <v>1725</v>
      </c>
      <c r="E276" t="s">
        <v>1726</v>
      </c>
      <c r="F276">
        <v>2.8</v>
      </c>
      <c r="G276">
        <v>98</v>
      </c>
      <c r="J276" t="e">
        <f>VLOOKUP(B276,'ALL Projects'!$A$2:$C725,2,0)</f>
        <v>#N/A</v>
      </c>
    </row>
    <row r="277" spans="1:10">
      <c r="A277">
        <v>276</v>
      </c>
      <c r="B277">
        <v>211001937</v>
      </c>
      <c r="C277" t="s">
        <v>1348</v>
      </c>
      <c r="D277" t="s">
        <v>1727</v>
      </c>
      <c r="E277" t="s">
        <v>791</v>
      </c>
      <c r="F277">
        <v>2.98</v>
      </c>
      <c r="G277">
        <v>97</v>
      </c>
      <c r="J277" t="str">
        <f>VLOOKUP(B277,'ALL Projects'!$A$2:$C726,2,0)</f>
        <v xml:space="preserve">Abdallah Mohamed Helmy </v>
      </c>
    </row>
    <row r="278" spans="1:10">
      <c r="A278">
        <v>277</v>
      </c>
      <c r="B278">
        <v>221001317</v>
      </c>
      <c r="C278" t="s">
        <v>1348</v>
      </c>
      <c r="D278" t="s">
        <v>1728</v>
      </c>
      <c r="E278" t="s">
        <v>1729</v>
      </c>
      <c r="F278">
        <v>2.33</v>
      </c>
      <c r="G278">
        <v>97</v>
      </c>
      <c r="J278" t="e">
        <f>VLOOKUP(B278,'ALL Projects'!$A$2:$C727,2,0)</f>
        <v>#N/A</v>
      </c>
    </row>
    <row r="279" spans="1:10">
      <c r="A279">
        <v>278</v>
      </c>
      <c r="B279">
        <v>211001779</v>
      </c>
      <c r="C279" t="s">
        <v>1348</v>
      </c>
      <c r="D279" t="s">
        <v>1730</v>
      </c>
      <c r="E279" t="s">
        <v>1731</v>
      </c>
      <c r="F279">
        <v>1.89</v>
      </c>
      <c r="G279">
        <v>96</v>
      </c>
      <c r="J279" t="e">
        <f>VLOOKUP(B279,'ALL Projects'!$A$2:$C728,2,0)</f>
        <v>#N/A</v>
      </c>
    </row>
    <row r="280" spans="1:10">
      <c r="A280">
        <v>279</v>
      </c>
      <c r="B280">
        <v>221000101</v>
      </c>
      <c r="C280" t="s">
        <v>1348</v>
      </c>
      <c r="D280" t="s">
        <v>1732</v>
      </c>
      <c r="E280" t="s">
        <v>1733</v>
      </c>
      <c r="F280">
        <v>2.2999999999999998</v>
      </c>
      <c r="G280">
        <v>96</v>
      </c>
      <c r="J280" t="e">
        <f>VLOOKUP(B280,'ALL Projects'!$A$2:$C729,2,0)</f>
        <v>#N/A</v>
      </c>
    </row>
    <row r="281" spans="1:10">
      <c r="A281">
        <v>280</v>
      </c>
      <c r="B281">
        <v>221000212</v>
      </c>
      <c r="C281" t="s">
        <v>1348</v>
      </c>
      <c r="D281" t="s">
        <v>1734</v>
      </c>
      <c r="E281" t="s">
        <v>1735</v>
      </c>
      <c r="F281">
        <v>2.39</v>
      </c>
      <c r="G281">
        <v>96</v>
      </c>
      <c r="J281" t="e">
        <f>VLOOKUP(B281,'ALL Projects'!$A$2:$C730,2,0)</f>
        <v>#N/A</v>
      </c>
    </row>
    <row r="282" spans="1:10">
      <c r="A282">
        <v>281</v>
      </c>
      <c r="B282">
        <v>221001275</v>
      </c>
      <c r="C282" t="s">
        <v>1348</v>
      </c>
      <c r="D282" t="s">
        <v>1736</v>
      </c>
      <c r="E282" t="s">
        <v>1737</v>
      </c>
      <c r="F282">
        <v>1.97</v>
      </c>
      <c r="G282">
        <v>96</v>
      </c>
      <c r="J282" t="e">
        <f>VLOOKUP(B282,'ALL Projects'!$A$2:$C731,2,0)</f>
        <v>#N/A</v>
      </c>
    </row>
    <row r="283" spans="1:10">
      <c r="A283">
        <v>282</v>
      </c>
      <c r="B283">
        <v>221001779</v>
      </c>
      <c r="C283" t="s">
        <v>1348</v>
      </c>
      <c r="D283" t="s">
        <v>1738</v>
      </c>
      <c r="E283" t="s">
        <v>1739</v>
      </c>
      <c r="F283">
        <v>2.46</v>
      </c>
      <c r="G283">
        <v>96</v>
      </c>
      <c r="J283" t="e">
        <f>VLOOKUP(B283,'ALL Projects'!$A$2:$C732,2,0)</f>
        <v>#N/A</v>
      </c>
    </row>
    <row r="284" spans="1:10">
      <c r="A284">
        <v>283</v>
      </c>
      <c r="B284">
        <v>221001824</v>
      </c>
      <c r="C284" t="s">
        <v>1348</v>
      </c>
      <c r="D284" t="s">
        <v>1740</v>
      </c>
      <c r="E284" t="s">
        <v>1741</v>
      </c>
      <c r="F284">
        <v>2.09</v>
      </c>
      <c r="G284">
        <v>96</v>
      </c>
      <c r="J284" t="e">
        <f>VLOOKUP(B284,'ALL Projects'!$A$2:$C733,2,0)</f>
        <v>#N/A</v>
      </c>
    </row>
    <row r="285" spans="1:10">
      <c r="A285">
        <v>284</v>
      </c>
      <c r="B285">
        <v>221001862</v>
      </c>
      <c r="C285" t="s">
        <v>1348</v>
      </c>
      <c r="D285" t="s">
        <v>1742</v>
      </c>
      <c r="E285" t="s">
        <v>1743</v>
      </c>
      <c r="F285">
        <v>2.1800000000000002</v>
      </c>
      <c r="G285">
        <v>96</v>
      </c>
      <c r="J285" t="e">
        <f>VLOOKUP(B285,'ALL Projects'!$A$2:$C734,2,0)</f>
        <v>#N/A</v>
      </c>
    </row>
    <row r="286" spans="1:10">
      <c r="A286">
        <v>285</v>
      </c>
      <c r="B286">
        <v>221001989</v>
      </c>
      <c r="C286" t="s">
        <v>1348</v>
      </c>
      <c r="D286" t="s">
        <v>1744</v>
      </c>
      <c r="E286" t="s">
        <v>1745</v>
      </c>
      <c r="F286">
        <v>3.92</v>
      </c>
      <c r="G286">
        <v>96</v>
      </c>
      <c r="J286" t="e">
        <f>VLOOKUP(B286,'ALL Projects'!$A$2:$C735,2,0)</f>
        <v>#N/A</v>
      </c>
    </row>
    <row r="287" spans="1:10">
      <c r="A287">
        <v>286</v>
      </c>
      <c r="B287">
        <v>222000052</v>
      </c>
      <c r="C287" t="s">
        <v>1348</v>
      </c>
      <c r="D287" t="s">
        <v>1746</v>
      </c>
      <c r="E287" t="s">
        <v>1747</v>
      </c>
      <c r="F287">
        <v>2.87</v>
      </c>
      <c r="G287">
        <v>96</v>
      </c>
      <c r="J287" t="e">
        <f>VLOOKUP(B287,'ALL Projects'!$A$2:$C736,2,0)</f>
        <v>#N/A</v>
      </c>
    </row>
    <row r="288" spans="1:10">
      <c r="A288">
        <v>287</v>
      </c>
      <c r="B288">
        <v>221000968</v>
      </c>
      <c r="C288" t="s">
        <v>1348</v>
      </c>
      <c r="D288" t="s">
        <v>1748</v>
      </c>
      <c r="E288" t="s">
        <v>1749</v>
      </c>
      <c r="F288">
        <v>2.2999999999999998</v>
      </c>
      <c r="G288">
        <v>95</v>
      </c>
      <c r="J288" t="e">
        <f>VLOOKUP(B288,'ALL Projects'!$A$2:$C737,2,0)</f>
        <v>#N/A</v>
      </c>
    </row>
    <row r="289" spans="1:10">
      <c r="A289">
        <v>288</v>
      </c>
      <c r="B289">
        <v>221001073</v>
      </c>
      <c r="C289" t="s">
        <v>1348</v>
      </c>
      <c r="D289" t="s">
        <v>1750</v>
      </c>
      <c r="E289" t="s">
        <v>1751</v>
      </c>
      <c r="F289">
        <v>2.77</v>
      </c>
      <c r="G289">
        <v>95</v>
      </c>
      <c r="J289" t="e">
        <f>VLOOKUP(B289,'ALL Projects'!$A$2:$C738,2,0)</f>
        <v>#N/A</v>
      </c>
    </row>
    <row r="290" spans="1:10">
      <c r="A290">
        <v>289</v>
      </c>
      <c r="B290">
        <v>221001785</v>
      </c>
      <c r="C290" t="s">
        <v>1348</v>
      </c>
      <c r="D290" t="s">
        <v>1752</v>
      </c>
      <c r="E290" t="s">
        <v>1753</v>
      </c>
      <c r="F290">
        <v>2.85</v>
      </c>
      <c r="G290">
        <v>95</v>
      </c>
      <c r="J290" t="e">
        <f>VLOOKUP(B290,'ALL Projects'!$A$2:$C739,2,0)</f>
        <v>#N/A</v>
      </c>
    </row>
    <row r="291" spans="1:10">
      <c r="A291">
        <v>290</v>
      </c>
      <c r="B291">
        <v>221002050</v>
      </c>
      <c r="C291" t="s">
        <v>1348</v>
      </c>
      <c r="D291" t="s">
        <v>1754</v>
      </c>
      <c r="E291" t="s">
        <v>1755</v>
      </c>
      <c r="F291">
        <v>2.99</v>
      </c>
      <c r="G291">
        <v>95</v>
      </c>
      <c r="J291" t="e">
        <f>VLOOKUP(B291,'ALL Projects'!$A$2:$C740,2,0)</f>
        <v>#N/A</v>
      </c>
    </row>
    <row r="292" spans="1:10">
      <c r="A292">
        <v>291</v>
      </c>
      <c r="B292">
        <v>221002158</v>
      </c>
      <c r="C292" t="s">
        <v>1348</v>
      </c>
      <c r="D292" t="s">
        <v>1756</v>
      </c>
      <c r="E292" t="s">
        <v>1757</v>
      </c>
      <c r="F292">
        <v>2.35</v>
      </c>
      <c r="G292">
        <v>95</v>
      </c>
      <c r="J292" t="e">
        <f>VLOOKUP(B292,'ALL Projects'!$A$2:$C741,2,0)</f>
        <v>#N/A</v>
      </c>
    </row>
    <row r="293" spans="1:10">
      <c r="A293">
        <v>292</v>
      </c>
      <c r="B293">
        <v>221002212</v>
      </c>
      <c r="C293" t="s">
        <v>1348</v>
      </c>
      <c r="D293" t="s">
        <v>1758</v>
      </c>
      <c r="E293" t="s">
        <v>1759</v>
      </c>
      <c r="F293">
        <v>2.36</v>
      </c>
      <c r="G293">
        <v>95</v>
      </c>
      <c r="J293" t="e">
        <f>VLOOKUP(B293,'ALL Projects'!$A$2:$C742,2,0)</f>
        <v>#N/A</v>
      </c>
    </row>
    <row r="294" spans="1:10">
      <c r="A294">
        <v>293</v>
      </c>
      <c r="B294">
        <v>231000125</v>
      </c>
      <c r="C294" t="s">
        <v>1348</v>
      </c>
      <c r="D294" t="s">
        <v>1760</v>
      </c>
      <c r="E294" t="s">
        <v>1761</v>
      </c>
      <c r="F294">
        <v>3.1</v>
      </c>
      <c r="G294">
        <v>95</v>
      </c>
      <c r="J294" t="e">
        <f>VLOOKUP(B294,'ALL Projects'!$A$2:$C743,2,0)</f>
        <v>#N/A</v>
      </c>
    </row>
    <row r="295" spans="1:10">
      <c r="A295">
        <v>294</v>
      </c>
      <c r="B295">
        <v>202001160</v>
      </c>
      <c r="C295" t="s">
        <v>1348</v>
      </c>
      <c r="D295" t="s">
        <v>1762</v>
      </c>
      <c r="E295" t="s">
        <v>1763</v>
      </c>
      <c r="F295">
        <v>2.12</v>
      </c>
      <c r="G295">
        <v>94</v>
      </c>
      <c r="J295" t="e">
        <f>VLOOKUP(B295,'ALL Projects'!$A$2:$C744,2,0)</f>
        <v>#N/A</v>
      </c>
    </row>
    <row r="296" spans="1:10">
      <c r="A296">
        <v>295</v>
      </c>
      <c r="B296">
        <v>212002333</v>
      </c>
      <c r="C296" t="s">
        <v>1348</v>
      </c>
      <c r="D296" t="s">
        <v>1764</v>
      </c>
      <c r="E296" t="s">
        <v>1765</v>
      </c>
      <c r="F296">
        <v>2.37</v>
      </c>
      <c r="G296">
        <v>94</v>
      </c>
      <c r="J296" t="e">
        <f>VLOOKUP(B296,'ALL Projects'!$A$2:$C745,2,0)</f>
        <v>#N/A</v>
      </c>
    </row>
    <row r="297" spans="1:10">
      <c r="A297">
        <v>296</v>
      </c>
      <c r="B297">
        <v>221001153</v>
      </c>
      <c r="C297" t="s">
        <v>1348</v>
      </c>
      <c r="D297" t="s">
        <v>1766</v>
      </c>
      <c r="E297" t="s">
        <v>1767</v>
      </c>
      <c r="F297">
        <v>2.63</v>
      </c>
      <c r="G297">
        <v>94</v>
      </c>
      <c r="J297" t="e">
        <f>VLOOKUP(B297,'ALL Projects'!$A$2:$C746,2,0)</f>
        <v>#N/A</v>
      </c>
    </row>
    <row r="298" spans="1:10">
      <c r="A298">
        <v>297</v>
      </c>
      <c r="B298">
        <v>221001891</v>
      </c>
      <c r="C298" t="s">
        <v>1348</v>
      </c>
      <c r="D298" t="s">
        <v>1768</v>
      </c>
      <c r="E298" t="s">
        <v>1769</v>
      </c>
      <c r="F298">
        <v>2.63</v>
      </c>
      <c r="G298">
        <v>94</v>
      </c>
      <c r="J298" t="e">
        <f>VLOOKUP(B298,'ALL Projects'!$A$2:$C747,2,0)</f>
        <v>#N/A</v>
      </c>
    </row>
    <row r="299" spans="1:10">
      <c r="A299">
        <v>298</v>
      </c>
      <c r="B299">
        <v>221001951</v>
      </c>
      <c r="C299" t="s">
        <v>1348</v>
      </c>
      <c r="D299" t="s">
        <v>1770</v>
      </c>
      <c r="E299" t="s">
        <v>1771</v>
      </c>
      <c r="F299">
        <v>2.52</v>
      </c>
      <c r="G299">
        <v>94</v>
      </c>
      <c r="J299" t="e">
        <f>VLOOKUP(B299,'ALL Projects'!$A$2:$C748,2,0)</f>
        <v>#N/A</v>
      </c>
    </row>
    <row r="300" spans="1:10">
      <c r="A300">
        <v>299</v>
      </c>
      <c r="B300">
        <v>221002035</v>
      </c>
      <c r="C300" t="s">
        <v>1348</v>
      </c>
      <c r="D300" t="s">
        <v>1772</v>
      </c>
      <c r="E300" t="s">
        <v>1773</v>
      </c>
      <c r="F300">
        <v>2.64</v>
      </c>
      <c r="G300">
        <v>94</v>
      </c>
      <c r="J300" t="e">
        <f>VLOOKUP(B300,'ALL Projects'!$A$2:$C749,2,0)</f>
        <v>#N/A</v>
      </c>
    </row>
    <row r="301" spans="1:10">
      <c r="A301">
        <v>300</v>
      </c>
      <c r="B301">
        <v>221001783</v>
      </c>
      <c r="C301" t="s">
        <v>1348</v>
      </c>
      <c r="D301" t="s">
        <v>1774</v>
      </c>
      <c r="E301" t="s">
        <v>1775</v>
      </c>
      <c r="F301">
        <v>4</v>
      </c>
      <c r="G301">
        <v>93</v>
      </c>
      <c r="J301" t="e">
        <f>VLOOKUP(B301,'ALL Projects'!$A$2:$C750,2,0)</f>
        <v>#N/A</v>
      </c>
    </row>
    <row r="302" spans="1:10">
      <c r="A302">
        <v>301</v>
      </c>
      <c r="B302">
        <v>222000066</v>
      </c>
      <c r="C302" t="s">
        <v>1348</v>
      </c>
      <c r="D302" t="s">
        <v>1776</v>
      </c>
      <c r="E302" t="s">
        <v>1777</v>
      </c>
      <c r="F302">
        <v>3.08</v>
      </c>
      <c r="G302">
        <v>93</v>
      </c>
      <c r="J302" t="e">
        <f>VLOOKUP(B302,'ALL Projects'!$A$2:$C751,2,0)</f>
        <v>#N/A</v>
      </c>
    </row>
    <row r="303" spans="1:10">
      <c r="A303">
        <v>302</v>
      </c>
      <c r="B303">
        <v>222000071</v>
      </c>
      <c r="C303" t="s">
        <v>1348</v>
      </c>
      <c r="D303" t="s">
        <v>1778</v>
      </c>
      <c r="E303" t="s">
        <v>1779</v>
      </c>
      <c r="F303">
        <v>2.4500000000000002</v>
      </c>
      <c r="G303">
        <v>93</v>
      </c>
      <c r="J303" t="e">
        <f>VLOOKUP(B303,'ALL Projects'!$A$2:$C752,2,0)</f>
        <v>#N/A</v>
      </c>
    </row>
    <row r="304" spans="1:10">
      <c r="A304">
        <v>303</v>
      </c>
      <c r="B304">
        <v>231000386</v>
      </c>
      <c r="C304" t="s">
        <v>1348</v>
      </c>
      <c r="D304" t="s">
        <v>1780</v>
      </c>
      <c r="E304" t="s">
        <v>1781</v>
      </c>
      <c r="F304">
        <v>2.65</v>
      </c>
      <c r="G304">
        <v>93</v>
      </c>
      <c r="J304" t="e">
        <f>VLOOKUP(B304,'ALL Projects'!$A$2:$C753,2,0)</f>
        <v>#N/A</v>
      </c>
    </row>
    <row r="305" spans="1:10">
      <c r="A305">
        <v>304</v>
      </c>
      <c r="B305">
        <v>231001561</v>
      </c>
      <c r="C305" t="s">
        <v>1348</v>
      </c>
      <c r="D305" t="s">
        <v>1782</v>
      </c>
      <c r="E305" t="s">
        <v>1783</v>
      </c>
      <c r="F305">
        <v>3.51</v>
      </c>
      <c r="G305">
        <v>93</v>
      </c>
      <c r="J305" t="e">
        <f>VLOOKUP(B305,'ALL Projects'!$A$2:$C754,2,0)</f>
        <v>#N/A</v>
      </c>
    </row>
    <row r="306" spans="1:10">
      <c r="A306">
        <v>305</v>
      </c>
      <c r="B306">
        <v>221001801</v>
      </c>
      <c r="C306" t="s">
        <v>1348</v>
      </c>
      <c r="D306" t="s">
        <v>1784</v>
      </c>
      <c r="E306" t="s">
        <v>1785</v>
      </c>
      <c r="F306">
        <v>2.08</v>
      </c>
      <c r="G306">
        <v>92</v>
      </c>
      <c r="J306" t="e">
        <f>VLOOKUP(B306,'ALL Projects'!$A$2:$C755,2,0)</f>
        <v>#N/A</v>
      </c>
    </row>
    <row r="307" spans="1:10">
      <c r="A307">
        <v>306</v>
      </c>
      <c r="B307">
        <v>221001857</v>
      </c>
      <c r="C307" t="s">
        <v>1348</v>
      </c>
      <c r="D307" t="s">
        <v>1786</v>
      </c>
      <c r="E307" t="s">
        <v>1787</v>
      </c>
      <c r="F307">
        <v>2.29</v>
      </c>
      <c r="G307">
        <v>92</v>
      </c>
      <c r="J307" t="e">
        <f>VLOOKUP(B307,'ALL Projects'!$A$2:$C756,2,0)</f>
        <v>#N/A</v>
      </c>
    </row>
    <row r="308" spans="1:10">
      <c r="A308">
        <v>307</v>
      </c>
      <c r="B308">
        <v>222000114</v>
      </c>
      <c r="C308" t="s">
        <v>1348</v>
      </c>
      <c r="D308" t="s">
        <v>1788</v>
      </c>
      <c r="E308" t="s">
        <v>1789</v>
      </c>
      <c r="F308">
        <v>3.62</v>
      </c>
      <c r="G308">
        <v>92</v>
      </c>
      <c r="J308" t="e">
        <f>VLOOKUP(B308,'ALL Projects'!$A$2:$C757,2,0)</f>
        <v>#N/A</v>
      </c>
    </row>
    <row r="309" spans="1:10">
      <c r="A309">
        <v>308</v>
      </c>
      <c r="B309">
        <v>221000404</v>
      </c>
      <c r="C309" t="s">
        <v>1348</v>
      </c>
      <c r="D309" t="s">
        <v>1790</v>
      </c>
      <c r="E309" t="s">
        <v>1791</v>
      </c>
      <c r="F309">
        <v>2.21</v>
      </c>
      <c r="G309">
        <v>91</v>
      </c>
      <c r="J309" t="e">
        <f>VLOOKUP(B309,'ALL Projects'!$A$2:$C758,2,0)</f>
        <v>#N/A</v>
      </c>
    </row>
    <row r="310" spans="1:10">
      <c r="A310">
        <v>309</v>
      </c>
      <c r="B310">
        <v>221001127</v>
      </c>
      <c r="C310" t="s">
        <v>1348</v>
      </c>
      <c r="D310" t="s">
        <v>1792</v>
      </c>
      <c r="E310" t="s">
        <v>1793</v>
      </c>
      <c r="F310">
        <v>2.2400000000000002</v>
      </c>
      <c r="G310">
        <v>91</v>
      </c>
      <c r="J310" t="e">
        <f>VLOOKUP(B310,'ALL Projects'!$A$2:$C759,2,0)</f>
        <v>#N/A</v>
      </c>
    </row>
    <row r="311" spans="1:10">
      <c r="A311">
        <v>310</v>
      </c>
      <c r="B311">
        <v>221001394</v>
      </c>
      <c r="C311" t="s">
        <v>1348</v>
      </c>
      <c r="D311" t="s">
        <v>1794</v>
      </c>
      <c r="E311" t="s">
        <v>1795</v>
      </c>
      <c r="F311">
        <v>2.12</v>
      </c>
      <c r="G311">
        <v>91</v>
      </c>
      <c r="J311" t="e">
        <f>VLOOKUP(B311,'ALL Projects'!$A$2:$C760,2,0)</f>
        <v>#N/A</v>
      </c>
    </row>
    <row r="312" spans="1:10">
      <c r="A312">
        <v>311</v>
      </c>
      <c r="B312">
        <v>221001706</v>
      </c>
      <c r="C312" t="s">
        <v>1348</v>
      </c>
      <c r="D312" t="s">
        <v>1796</v>
      </c>
      <c r="E312" t="s">
        <v>1797</v>
      </c>
      <c r="F312">
        <v>2.54</v>
      </c>
      <c r="G312">
        <v>91</v>
      </c>
      <c r="J312" t="e">
        <f>VLOOKUP(B312,'ALL Projects'!$A$2:$C761,2,0)</f>
        <v>#N/A</v>
      </c>
    </row>
    <row r="313" spans="1:10">
      <c r="A313">
        <v>312</v>
      </c>
      <c r="B313">
        <v>19105218</v>
      </c>
      <c r="C313" t="s">
        <v>1348</v>
      </c>
      <c r="D313" t="s">
        <v>1798</v>
      </c>
      <c r="E313" t="s">
        <v>1799</v>
      </c>
      <c r="F313">
        <v>1.97</v>
      </c>
      <c r="G313">
        <v>90</v>
      </c>
      <c r="J313" t="e">
        <f>VLOOKUP(B313,'ALL Projects'!$A$2:$C762,2,0)</f>
        <v>#N/A</v>
      </c>
    </row>
    <row r="314" spans="1:10">
      <c r="A314">
        <v>313</v>
      </c>
      <c r="B314">
        <v>202002417</v>
      </c>
      <c r="C314" t="s">
        <v>1348</v>
      </c>
      <c r="D314" t="s">
        <v>1800</v>
      </c>
      <c r="E314" t="s">
        <v>1801</v>
      </c>
      <c r="F314">
        <v>2.0699999999999998</v>
      </c>
      <c r="G314">
        <v>90</v>
      </c>
      <c r="J314" t="e">
        <f>VLOOKUP(B314,'ALL Projects'!$A$2:$C763,2,0)</f>
        <v>#N/A</v>
      </c>
    </row>
    <row r="315" spans="1:10">
      <c r="A315">
        <v>314</v>
      </c>
      <c r="B315">
        <v>221001771</v>
      </c>
      <c r="C315" t="s">
        <v>1348</v>
      </c>
      <c r="D315" t="s">
        <v>1802</v>
      </c>
      <c r="E315" t="s">
        <v>1803</v>
      </c>
      <c r="F315">
        <v>2.2400000000000002</v>
      </c>
      <c r="G315">
        <v>90</v>
      </c>
      <c r="J315" t="e">
        <f>VLOOKUP(B315,'ALL Projects'!$A$2:$C764,2,0)</f>
        <v>#N/A</v>
      </c>
    </row>
    <row r="316" spans="1:10">
      <c r="A316">
        <v>315</v>
      </c>
      <c r="B316">
        <v>221001945</v>
      </c>
      <c r="C316" t="s">
        <v>1348</v>
      </c>
      <c r="D316" t="s">
        <v>1804</v>
      </c>
      <c r="E316" t="s">
        <v>1805</v>
      </c>
      <c r="F316">
        <v>3.58</v>
      </c>
      <c r="G316">
        <v>90</v>
      </c>
      <c r="J316" t="e">
        <f>VLOOKUP(B316,'ALL Projects'!$A$2:$C765,2,0)</f>
        <v>#N/A</v>
      </c>
    </row>
    <row r="317" spans="1:10">
      <c r="A317">
        <v>316</v>
      </c>
      <c r="B317">
        <v>221002144</v>
      </c>
      <c r="C317" t="s">
        <v>1348</v>
      </c>
      <c r="D317" t="s">
        <v>1806</v>
      </c>
      <c r="E317" t="s">
        <v>1807</v>
      </c>
      <c r="F317">
        <v>2.08</v>
      </c>
      <c r="G317">
        <v>90</v>
      </c>
      <c r="J317" t="e">
        <f>VLOOKUP(B317,'ALL Projects'!$A$2:$C766,2,0)</f>
        <v>#N/A</v>
      </c>
    </row>
    <row r="318" spans="1:10">
      <c r="A318">
        <v>317</v>
      </c>
      <c r="B318">
        <v>221002149</v>
      </c>
      <c r="C318" t="s">
        <v>1348</v>
      </c>
      <c r="D318" t="s">
        <v>1808</v>
      </c>
      <c r="E318" t="s">
        <v>1809</v>
      </c>
      <c r="F318">
        <v>3.39</v>
      </c>
      <c r="G318">
        <v>90</v>
      </c>
      <c r="J318" t="e">
        <f>VLOOKUP(B318,'ALL Projects'!$A$2:$C767,2,0)</f>
        <v>#N/A</v>
      </c>
    </row>
    <row r="319" spans="1:10">
      <c r="A319">
        <v>318</v>
      </c>
      <c r="B319">
        <v>222000057</v>
      </c>
      <c r="C319" t="s">
        <v>1348</v>
      </c>
      <c r="D319" t="s">
        <v>1810</v>
      </c>
      <c r="E319" t="s">
        <v>1811</v>
      </c>
      <c r="F319">
        <v>2.97</v>
      </c>
      <c r="G319">
        <v>90</v>
      </c>
      <c r="J319" t="e">
        <f>VLOOKUP(B319,'ALL Projects'!$A$2:$C768,2,0)</f>
        <v>#N/A</v>
      </c>
    </row>
    <row r="320" spans="1:10">
      <c r="A320">
        <v>319</v>
      </c>
      <c r="B320">
        <v>19104244</v>
      </c>
      <c r="C320" t="s">
        <v>1348</v>
      </c>
      <c r="D320" t="s">
        <v>1812</v>
      </c>
      <c r="E320" t="s">
        <v>1813</v>
      </c>
      <c r="F320">
        <v>1.4</v>
      </c>
      <c r="G320">
        <v>89</v>
      </c>
      <c r="J320" t="e">
        <f>VLOOKUP(B320,'ALL Projects'!$A$2:$C769,2,0)</f>
        <v>#N/A</v>
      </c>
    </row>
    <row r="321" spans="1:10">
      <c r="A321">
        <v>320</v>
      </c>
      <c r="B321">
        <v>202002593</v>
      </c>
      <c r="C321" t="s">
        <v>1348</v>
      </c>
      <c r="D321" t="s">
        <v>1814</v>
      </c>
      <c r="E321" t="s">
        <v>1815</v>
      </c>
      <c r="F321">
        <v>1.69</v>
      </c>
      <c r="G321">
        <v>89</v>
      </c>
      <c r="J321" t="e">
        <f>VLOOKUP(B321,'ALL Projects'!$A$2:$C770,2,0)</f>
        <v>#N/A</v>
      </c>
    </row>
    <row r="322" spans="1:10">
      <c r="A322">
        <v>321</v>
      </c>
      <c r="B322">
        <v>221001001</v>
      </c>
      <c r="C322" t="s">
        <v>1348</v>
      </c>
      <c r="D322" t="s">
        <v>1816</v>
      </c>
      <c r="E322" t="s">
        <v>1817</v>
      </c>
      <c r="F322">
        <v>2.58</v>
      </c>
      <c r="G322">
        <v>89</v>
      </c>
      <c r="J322" t="e">
        <f>VLOOKUP(B322,'ALL Projects'!$A$2:$C771,2,0)</f>
        <v>#N/A</v>
      </c>
    </row>
    <row r="323" spans="1:10">
      <c r="A323">
        <v>322</v>
      </c>
      <c r="B323">
        <v>221001253</v>
      </c>
      <c r="C323" t="s">
        <v>1348</v>
      </c>
      <c r="D323" t="s">
        <v>1818</v>
      </c>
      <c r="E323" t="s">
        <v>1819</v>
      </c>
      <c r="F323">
        <v>2.61</v>
      </c>
      <c r="G323">
        <v>89</v>
      </c>
      <c r="J323" t="e">
        <f>VLOOKUP(B323,'ALL Projects'!$A$2:$C772,2,0)</f>
        <v>#N/A</v>
      </c>
    </row>
    <row r="324" spans="1:10">
      <c r="A324">
        <v>323</v>
      </c>
      <c r="B324">
        <v>221001405</v>
      </c>
      <c r="C324" t="s">
        <v>1348</v>
      </c>
      <c r="D324" t="s">
        <v>1820</v>
      </c>
      <c r="E324" t="s">
        <v>1821</v>
      </c>
      <c r="F324">
        <v>2.16</v>
      </c>
      <c r="G324">
        <v>89</v>
      </c>
      <c r="J324" t="e">
        <f>VLOOKUP(B324,'ALL Projects'!$A$2:$C773,2,0)</f>
        <v>#N/A</v>
      </c>
    </row>
    <row r="325" spans="1:10">
      <c r="A325">
        <v>324</v>
      </c>
      <c r="B325">
        <v>221001435</v>
      </c>
      <c r="C325" t="s">
        <v>1348</v>
      </c>
      <c r="D325" t="s">
        <v>1822</v>
      </c>
      <c r="E325" t="s">
        <v>1823</v>
      </c>
      <c r="F325">
        <v>2.2400000000000002</v>
      </c>
      <c r="G325">
        <v>89</v>
      </c>
      <c r="J325" t="e">
        <f>VLOOKUP(B325,'ALL Projects'!$A$2:$C774,2,0)</f>
        <v>#N/A</v>
      </c>
    </row>
    <row r="326" spans="1:10">
      <c r="A326">
        <v>325</v>
      </c>
      <c r="B326">
        <v>222000087</v>
      </c>
      <c r="C326" t="s">
        <v>1348</v>
      </c>
      <c r="D326" t="s">
        <v>1824</v>
      </c>
      <c r="E326" t="s">
        <v>1825</v>
      </c>
      <c r="F326">
        <v>2.4700000000000002</v>
      </c>
      <c r="G326">
        <v>89</v>
      </c>
      <c r="J326" t="e">
        <f>VLOOKUP(B326,'ALL Projects'!$A$2:$C775,2,0)</f>
        <v>#N/A</v>
      </c>
    </row>
    <row r="327" spans="1:10">
      <c r="A327">
        <v>326</v>
      </c>
      <c r="B327">
        <v>222000092</v>
      </c>
      <c r="C327" t="s">
        <v>1348</v>
      </c>
      <c r="D327" t="s">
        <v>1826</v>
      </c>
      <c r="E327" t="s">
        <v>1827</v>
      </c>
      <c r="F327">
        <v>2.25</v>
      </c>
      <c r="G327">
        <v>89</v>
      </c>
      <c r="J327" t="e">
        <f>VLOOKUP(B327,'ALL Projects'!$A$2:$C776,2,0)</f>
        <v>#N/A</v>
      </c>
    </row>
    <row r="328" spans="1:10">
      <c r="A328">
        <v>327</v>
      </c>
      <c r="B328">
        <v>18200080</v>
      </c>
      <c r="C328" t="s">
        <v>1348</v>
      </c>
      <c r="D328" t="s">
        <v>1828</v>
      </c>
      <c r="E328" t="s">
        <v>1829</v>
      </c>
      <c r="F328">
        <v>2.4300000000000002</v>
      </c>
      <c r="G328">
        <v>88</v>
      </c>
      <c r="J328" t="str">
        <f>VLOOKUP(B328,'ALL Projects'!$A$2:$C777,2,0)</f>
        <v>Ahmed Gamal Mohamed Mohamed Dawood</v>
      </c>
    </row>
    <row r="329" spans="1:10">
      <c r="A329">
        <v>328</v>
      </c>
      <c r="B329">
        <v>19100645</v>
      </c>
      <c r="C329" t="s">
        <v>1348</v>
      </c>
      <c r="D329" t="s">
        <v>1830</v>
      </c>
      <c r="E329" t="s">
        <v>1831</v>
      </c>
      <c r="F329">
        <v>1.57</v>
      </c>
      <c r="G329">
        <v>88</v>
      </c>
      <c r="J329" t="e">
        <f>VLOOKUP(B329,'ALL Projects'!$A$2:$C778,2,0)</f>
        <v>#N/A</v>
      </c>
    </row>
    <row r="330" spans="1:10">
      <c r="A330">
        <v>329</v>
      </c>
      <c r="B330">
        <v>221001768</v>
      </c>
      <c r="C330" t="s">
        <v>1348</v>
      </c>
      <c r="D330" t="s">
        <v>1832</v>
      </c>
      <c r="E330" t="s">
        <v>1833</v>
      </c>
      <c r="F330">
        <v>2</v>
      </c>
      <c r="G330">
        <v>88</v>
      </c>
      <c r="J330" t="e">
        <f>VLOOKUP(B330,'ALL Projects'!$A$2:$C779,2,0)</f>
        <v>#N/A</v>
      </c>
    </row>
    <row r="331" spans="1:10">
      <c r="A331">
        <v>330</v>
      </c>
      <c r="B331">
        <v>221001806</v>
      </c>
      <c r="C331" t="s">
        <v>1348</v>
      </c>
      <c r="D331" t="s">
        <v>1834</v>
      </c>
      <c r="E331" t="s">
        <v>1835</v>
      </c>
      <c r="F331">
        <v>2.27</v>
      </c>
      <c r="G331">
        <v>88</v>
      </c>
      <c r="J331" t="e">
        <f>VLOOKUP(B331,'ALL Projects'!$A$2:$C780,2,0)</f>
        <v>#N/A</v>
      </c>
    </row>
    <row r="332" spans="1:10">
      <c r="A332">
        <v>331</v>
      </c>
      <c r="B332">
        <v>222000058</v>
      </c>
      <c r="C332" t="s">
        <v>1348</v>
      </c>
      <c r="D332" t="s">
        <v>1836</v>
      </c>
      <c r="E332" t="s">
        <v>1837</v>
      </c>
      <c r="F332">
        <v>3.97</v>
      </c>
      <c r="G332">
        <v>88</v>
      </c>
      <c r="J332" t="e">
        <f>VLOOKUP(B332,'ALL Projects'!$A$2:$C781,2,0)</f>
        <v>#N/A</v>
      </c>
    </row>
    <row r="333" spans="1:10">
      <c r="A333">
        <v>332</v>
      </c>
      <c r="B333">
        <v>202001407</v>
      </c>
      <c r="C333" t="s">
        <v>1348</v>
      </c>
      <c r="D333" t="s">
        <v>1838</v>
      </c>
      <c r="E333" t="s">
        <v>1839</v>
      </c>
      <c r="F333">
        <v>1.72</v>
      </c>
      <c r="G333">
        <v>87</v>
      </c>
      <c r="J333" t="e">
        <f>VLOOKUP(B333,'ALL Projects'!$A$2:$C782,2,0)</f>
        <v>#N/A</v>
      </c>
    </row>
    <row r="334" spans="1:10">
      <c r="A334">
        <v>333</v>
      </c>
      <c r="B334">
        <v>211002004</v>
      </c>
      <c r="C334" t="s">
        <v>1348</v>
      </c>
      <c r="D334" t="s">
        <v>1840</v>
      </c>
      <c r="E334" t="s">
        <v>1841</v>
      </c>
      <c r="F334">
        <v>2.19</v>
      </c>
      <c r="G334">
        <v>87</v>
      </c>
      <c r="J334" t="e">
        <f>VLOOKUP(B334,'ALL Projects'!$A$2:$C783,2,0)</f>
        <v>#N/A</v>
      </c>
    </row>
    <row r="335" spans="1:10">
      <c r="A335">
        <v>334</v>
      </c>
      <c r="B335">
        <v>212002445</v>
      </c>
      <c r="C335" t="s">
        <v>1348</v>
      </c>
      <c r="D335" t="s">
        <v>1842</v>
      </c>
      <c r="E335" t="s">
        <v>1843</v>
      </c>
      <c r="F335">
        <v>1.86</v>
      </c>
      <c r="G335">
        <v>87</v>
      </c>
      <c r="J335" t="e">
        <f>VLOOKUP(B335,'ALL Projects'!$A$2:$C784,2,0)</f>
        <v>#N/A</v>
      </c>
    </row>
    <row r="336" spans="1:10">
      <c r="A336">
        <v>335</v>
      </c>
      <c r="B336">
        <v>221001496</v>
      </c>
      <c r="C336" t="s">
        <v>1348</v>
      </c>
      <c r="D336" t="s">
        <v>1844</v>
      </c>
      <c r="E336" t="s">
        <v>1845</v>
      </c>
      <c r="F336">
        <v>2.29</v>
      </c>
      <c r="G336">
        <v>87</v>
      </c>
      <c r="J336" t="e">
        <f>VLOOKUP(B336,'ALL Projects'!$A$2:$C785,2,0)</f>
        <v>#N/A</v>
      </c>
    </row>
    <row r="337" spans="1:10">
      <c r="A337">
        <v>336</v>
      </c>
      <c r="B337">
        <v>221001690</v>
      </c>
      <c r="C337" t="s">
        <v>1348</v>
      </c>
      <c r="D337" t="s">
        <v>1846</v>
      </c>
      <c r="E337" t="s">
        <v>1847</v>
      </c>
      <c r="F337">
        <v>2.02</v>
      </c>
      <c r="G337">
        <v>87</v>
      </c>
      <c r="J337" t="e">
        <f>VLOOKUP(B337,'ALL Projects'!$A$2:$C786,2,0)</f>
        <v>#N/A</v>
      </c>
    </row>
    <row r="338" spans="1:10">
      <c r="A338">
        <v>337</v>
      </c>
      <c r="B338">
        <v>221001754</v>
      </c>
      <c r="C338" t="s">
        <v>1348</v>
      </c>
      <c r="D338" t="s">
        <v>1848</v>
      </c>
      <c r="E338" t="s">
        <v>1849</v>
      </c>
      <c r="F338">
        <v>2.35</v>
      </c>
      <c r="G338">
        <v>87</v>
      </c>
      <c r="J338" t="e">
        <f>VLOOKUP(B338,'ALL Projects'!$A$2:$C787,2,0)</f>
        <v>#N/A</v>
      </c>
    </row>
    <row r="339" spans="1:10">
      <c r="A339">
        <v>338</v>
      </c>
      <c r="B339">
        <v>202000665</v>
      </c>
      <c r="C339" t="s">
        <v>1348</v>
      </c>
      <c r="D339" t="s">
        <v>1850</v>
      </c>
      <c r="E339" t="s">
        <v>1851</v>
      </c>
      <c r="F339">
        <v>1.85</v>
      </c>
      <c r="G339">
        <v>86</v>
      </c>
      <c r="J339" t="e">
        <f>VLOOKUP(B339,'ALL Projects'!$A$2:$C788,2,0)</f>
        <v>#N/A</v>
      </c>
    </row>
    <row r="340" spans="1:10">
      <c r="A340">
        <v>339</v>
      </c>
      <c r="B340">
        <v>221001700</v>
      </c>
      <c r="C340" t="s">
        <v>1348</v>
      </c>
      <c r="D340" t="s">
        <v>1852</v>
      </c>
      <c r="E340" t="s">
        <v>1853</v>
      </c>
      <c r="F340">
        <v>2.19</v>
      </c>
      <c r="G340">
        <v>86</v>
      </c>
      <c r="J340" t="e">
        <f>VLOOKUP(B340,'ALL Projects'!$A$2:$C789,2,0)</f>
        <v>#N/A</v>
      </c>
    </row>
    <row r="341" spans="1:10">
      <c r="A341">
        <v>340</v>
      </c>
      <c r="B341">
        <v>221000774</v>
      </c>
      <c r="C341" t="s">
        <v>1348</v>
      </c>
      <c r="D341" t="s">
        <v>1854</v>
      </c>
      <c r="E341" t="s">
        <v>1855</v>
      </c>
      <c r="F341">
        <v>2.1</v>
      </c>
      <c r="G341">
        <v>85</v>
      </c>
      <c r="J341" t="e">
        <f>VLOOKUP(B341,'ALL Projects'!$A$2:$C790,2,0)</f>
        <v>#N/A</v>
      </c>
    </row>
    <row r="342" spans="1:10">
      <c r="A342">
        <v>341</v>
      </c>
      <c r="B342">
        <v>221001026</v>
      </c>
      <c r="C342" t="s">
        <v>1348</v>
      </c>
      <c r="D342" t="s">
        <v>1856</v>
      </c>
      <c r="E342" t="s">
        <v>1857</v>
      </c>
      <c r="F342">
        <v>2.37</v>
      </c>
      <c r="G342">
        <v>85</v>
      </c>
      <c r="J342" t="e">
        <f>VLOOKUP(B342,'ALL Projects'!$A$2:$C791,2,0)</f>
        <v>#N/A</v>
      </c>
    </row>
    <row r="343" spans="1:10">
      <c r="A343">
        <v>342</v>
      </c>
      <c r="B343">
        <v>231000387</v>
      </c>
      <c r="C343" t="s">
        <v>1348</v>
      </c>
      <c r="D343" t="s">
        <v>1858</v>
      </c>
      <c r="E343" t="s">
        <v>1859</v>
      </c>
      <c r="F343">
        <v>2.52</v>
      </c>
      <c r="G343">
        <v>85</v>
      </c>
      <c r="J343" t="e">
        <f>VLOOKUP(B343,'ALL Projects'!$A$2:$C792,2,0)</f>
        <v>#N/A</v>
      </c>
    </row>
    <row r="344" spans="1:10">
      <c r="A344">
        <v>343</v>
      </c>
      <c r="B344">
        <v>211000308</v>
      </c>
      <c r="C344" t="s">
        <v>1348</v>
      </c>
      <c r="D344" t="s">
        <v>1860</v>
      </c>
      <c r="E344" t="s">
        <v>1861</v>
      </c>
      <c r="F344">
        <v>1.71</v>
      </c>
      <c r="G344">
        <v>84</v>
      </c>
      <c r="J344" t="e">
        <f>VLOOKUP(B344,'ALL Projects'!$A$2:$C793,2,0)</f>
        <v>#N/A</v>
      </c>
    </row>
    <row r="345" spans="1:10">
      <c r="A345">
        <v>344</v>
      </c>
      <c r="B345">
        <v>221001495</v>
      </c>
      <c r="C345" t="s">
        <v>1348</v>
      </c>
      <c r="D345" t="s">
        <v>1862</v>
      </c>
      <c r="E345" t="s">
        <v>1863</v>
      </c>
      <c r="F345">
        <v>1.88</v>
      </c>
      <c r="G345">
        <v>84</v>
      </c>
      <c r="J345" t="e">
        <f>VLOOKUP(B345,'ALL Projects'!$A$2:$C794,2,0)</f>
        <v>#N/A</v>
      </c>
    </row>
    <row r="346" spans="1:10">
      <c r="A346">
        <v>345</v>
      </c>
      <c r="B346">
        <v>221001837</v>
      </c>
      <c r="C346" t="s">
        <v>1348</v>
      </c>
      <c r="D346" t="s">
        <v>1864</v>
      </c>
      <c r="E346" t="s">
        <v>1865</v>
      </c>
      <c r="F346">
        <v>2.13</v>
      </c>
      <c r="G346">
        <v>84</v>
      </c>
      <c r="J346" t="e">
        <f>VLOOKUP(B346,'ALL Projects'!$A$2:$C795,2,0)</f>
        <v>#N/A</v>
      </c>
    </row>
    <row r="347" spans="1:10">
      <c r="A347">
        <v>346</v>
      </c>
      <c r="B347">
        <v>221001856</v>
      </c>
      <c r="C347" t="s">
        <v>1348</v>
      </c>
      <c r="D347" t="s">
        <v>1866</v>
      </c>
      <c r="E347" t="s">
        <v>1867</v>
      </c>
      <c r="F347">
        <v>1.98</v>
      </c>
      <c r="G347">
        <v>84</v>
      </c>
      <c r="J347" t="e">
        <f>VLOOKUP(B347,'ALL Projects'!$A$2:$C796,2,0)</f>
        <v>#N/A</v>
      </c>
    </row>
    <row r="348" spans="1:10">
      <c r="A348">
        <v>347</v>
      </c>
      <c r="B348">
        <v>1610400</v>
      </c>
      <c r="C348" t="s">
        <v>1348</v>
      </c>
      <c r="D348" t="s">
        <v>1868</v>
      </c>
      <c r="E348" t="s">
        <v>1869</v>
      </c>
    </row>
  </sheetData>
  <hyperlinks>
    <hyperlink ref="E348"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60"/>
  <sheetViews>
    <sheetView topLeftCell="A318" workbookViewId="0">
      <selection activeCell="D70" sqref="D70"/>
    </sheetView>
  </sheetViews>
  <sheetFormatPr defaultColWidth="8.85546875" defaultRowHeight="14.45"/>
  <cols>
    <col min="1" max="1" width="17.42578125" customWidth="1"/>
    <col min="2" max="2" width="50.28515625" customWidth="1"/>
    <col min="3" max="3" width="29.42578125" bestFit="1" customWidth="1"/>
    <col min="4" max="4" width="8.42578125" bestFit="1" customWidth="1"/>
    <col min="5" max="5" width="9.85546875" bestFit="1" customWidth="1"/>
    <col min="6" max="6" width="9.7109375" bestFit="1" customWidth="1"/>
    <col min="7" max="7" width="38.28515625" customWidth="1"/>
  </cols>
  <sheetData>
    <row r="1" spans="1:7">
      <c r="A1" s="14" t="s">
        <v>0</v>
      </c>
      <c r="B1" s="14" t="s">
        <v>1</v>
      </c>
      <c r="C1" s="14" t="s">
        <v>1870</v>
      </c>
      <c r="D1" s="14" t="s">
        <v>1168</v>
      </c>
      <c r="E1" s="14" t="s">
        <v>1871</v>
      </c>
      <c r="F1" s="14" t="s">
        <v>1872</v>
      </c>
    </row>
    <row r="2" spans="1:7">
      <c r="A2" s="15">
        <v>202001369</v>
      </c>
      <c r="B2" s="15" t="s">
        <v>1247</v>
      </c>
      <c r="C2" s="15" t="s">
        <v>1248</v>
      </c>
      <c r="D2" s="15" t="s">
        <v>1176</v>
      </c>
      <c r="E2" s="15" t="s">
        <v>1873</v>
      </c>
      <c r="F2" s="15" t="s">
        <v>1874</v>
      </c>
      <c r="G2" t="e">
        <f>VLOOKUP(A2,'ALL Projects'!$A$2:$E$513,2,0)</f>
        <v>#N/A</v>
      </c>
    </row>
    <row r="3" spans="1:7">
      <c r="A3" s="15">
        <v>221001133</v>
      </c>
      <c r="B3" s="15" t="s">
        <v>1875</v>
      </c>
      <c r="C3" s="15" t="s">
        <v>1876</v>
      </c>
      <c r="D3" s="15" t="s">
        <v>1176</v>
      </c>
      <c r="E3" s="15" t="s">
        <v>1873</v>
      </c>
      <c r="F3" s="15" t="s">
        <v>1874</v>
      </c>
      <c r="G3" t="e">
        <f>VLOOKUP(A3,'ALL Projects'!$A$2:$E$513,2,0)</f>
        <v>#N/A</v>
      </c>
    </row>
    <row r="4" spans="1:7">
      <c r="A4" s="15">
        <v>221000043</v>
      </c>
      <c r="B4" s="15" t="s">
        <v>1179</v>
      </c>
      <c r="C4" s="15" t="s">
        <v>1180</v>
      </c>
      <c r="D4" s="15" t="s">
        <v>1176</v>
      </c>
      <c r="E4" s="15" t="s">
        <v>1873</v>
      </c>
      <c r="F4" s="15" t="s">
        <v>1874</v>
      </c>
      <c r="G4" t="e">
        <f>VLOOKUP(A4,'ALL Projects'!$A$2:$E$513,2,0)</f>
        <v>#N/A</v>
      </c>
    </row>
    <row r="5" spans="1:7">
      <c r="A5" s="15">
        <v>221001099</v>
      </c>
      <c r="B5" s="15" t="s">
        <v>1211</v>
      </c>
      <c r="C5" s="15" t="s">
        <v>1212</v>
      </c>
      <c r="D5" s="15" t="s">
        <v>1176</v>
      </c>
      <c r="E5" s="15" t="s">
        <v>1873</v>
      </c>
      <c r="F5" s="15" t="s">
        <v>1874</v>
      </c>
      <c r="G5" t="e">
        <f>VLOOKUP(A5,'ALL Projects'!$A$2:$E$513,2,0)</f>
        <v>#N/A</v>
      </c>
    </row>
    <row r="6" spans="1:7">
      <c r="A6" s="15">
        <v>231001426</v>
      </c>
      <c r="B6" s="15" t="s">
        <v>1877</v>
      </c>
      <c r="C6" s="15" t="s">
        <v>1878</v>
      </c>
      <c r="D6" s="15" t="s">
        <v>1176</v>
      </c>
      <c r="E6" s="15" t="s">
        <v>1873</v>
      </c>
      <c r="F6" s="15" t="s">
        <v>1874</v>
      </c>
      <c r="G6" t="e">
        <f>VLOOKUP(A6,'ALL Projects'!$A$2:$E$513,2,0)</f>
        <v>#N/A</v>
      </c>
    </row>
    <row r="7" spans="1:7">
      <c r="A7" s="15">
        <v>221001524</v>
      </c>
      <c r="B7" s="15" t="s">
        <v>1215</v>
      </c>
      <c r="C7" s="15" t="s">
        <v>1216</v>
      </c>
      <c r="D7" s="15" t="s">
        <v>1176</v>
      </c>
      <c r="E7" s="15" t="s">
        <v>1873</v>
      </c>
      <c r="F7" s="15" t="s">
        <v>1874</v>
      </c>
      <c r="G7" t="e">
        <f>VLOOKUP(A7,'ALL Projects'!$A$2:$E$513,2,0)</f>
        <v>#N/A</v>
      </c>
    </row>
    <row r="8" spans="1:7">
      <c r="A8" s="15">
        <v>222000111</v>
      </c>
      <c r="B8" s="15" t="s">
        <v>1879</v>
      </c>
      <c r="C8" s="15" t="s">
        <v>1274</v>
      </c>
      <c r="D8" s="15" t="s">
        <v>1176</v>
      </c>
      <c r="E8" s="15" t="s">
        <v>1873</v>
      </c>
      <c r="F8" s="15" t="s">
        <v>1874</v>
      </c>
      <c r="G8" t="e">
        <f>VLOOKUP(A8,'ALL Projects'!$A$2:$E$513,2,0)</f>
        <v>#N/A</v>
      </c>
    </row>
    <row r="9" spans="1:7">
      <c r="A9" s="15">
        <v>221001792</v>
      </c>
      <c r="B9" s="15" t="s">
        <v>1880</v>
      </c>
      <c r="C9" s="15" t="s">
        <v>1192</v>
      </c>
      <c r="D9" s="15" t="s">
        <v>1176</v>
      </c>
      <c r="E9" s="15" t="s">
        <v>1873</v>
      </c>
      <c r="F9" s="15" t="s">
        <v>1874</v>
      </c>
      <c r="G9" t="e">
        <f>VLOOKUP(A9,'ALL Projects'!$A$2:$E$513,2,0)</f>
        <v>#N/A</v>
      </c>
    </row>
    <row r="10" spans="1:7">
      <c r="A10" s="15">
        <v>221000832</v>
      </c>
      <c r="B10" s="15" t="s">
        <v>1209</v>
      </c>
      <c r="C10" s="15" t="s">
        <v>1210</v>
      </c>
      <c r="D10" s="15" t="s">
        <v>1176</v>
      </c>
      <c r="E10" s="15" t="s">
        <v>1873</v>
      </c>
      <c r="F10" s="15" t="s">
        <v>1874</v>
      </c>
      <c r="G10" t="e">
        <f>VLOOKUP(A10,'ALL Projects'!$A$2:$E$513,2,0)</f>
        <v>#N/A</v>
      </c>
    </row>
    <row r="11" spans="1:7">
      <c r="A11" s="15">
        <v>221001421</v>
      </c>
      <c r="B11" s="15" t="s">
        <v>1263</v>
      </c>
      <c r="C11" s="15" t="s">
        <v>1264</v>
      </c>
      <c r="D11" s="15" t="s">
        <v>1176</v>
      </c>
      <c r="E11" s="15" t="s">
        <v>1873</v>
      </c>
      <c r="F11" s="15" t="s">
        <v>1874</v>
      </c>
      <c r="G11" t="e">
        <f>VLOOKUP(A11,'ALL Projects'!$A$2:$E$513,2,0)</f>
        <v>#N/A</v>
      </c>
    </row>
    <row r="12" spans="1:7">
      <c r="A12" s="15">
        <v>221001520</v>
      </c>
      <c r="B12" s="15" t="s">
        <v>1265</v>
      </c>
      <c r="C12" s="15" t="s">
        <v>1266</v>
      </c>
      <c r="D12" s="15" t="s">
        <v>1176</v>
      </c>
      <c r="E12" s="15" t="s">
        <v>1873</v>
      </c>
      <c r="F12" s="15" t="s">
        <v>1874</v>
      </c>
      <c r="G12" t="e">
        <f>VLOOKUP(A12,'ALL Projects'!$A$2:$E$513,2,0)</f>
        <v>#N/A</v>
      </c>
    </row>
    <row r="13" spans="1:7">
      <c r="A13" s="15">
        <v>211001892</v>
      </c>
      <c r="B13" s="15" t="s">
        <v>1225</v>
      </c>
      <c r="C13" s="15" t="s">
        <v>1226</v>
      </c>
      <c r="D13" s="15" t="s">
        <v>1176</v>
      </c>
      <c r="E13" s="15" t="s">
        <v>1873</v>
      </c>
      <c r="F13" s="15" t="s">
        <v>1874</v>
      </c>
      <c r="G13" t="e">
        <f>VLOOKUP(A13,'ALL Projects'!$A$2:$E$513,2,0)</f>
        <v>#N/A</v>
      </c>
    </row>
    <row r="14" spans="1:7">
      <c r="A14" s="15">
        <v>221000318</v>
      </c>
      <c r="B14" s="15" t="s">
        <v>1241</v>
      </c>
      <c r="C14" s="15" t="s">
        <v>1242</v>
      </c>
      <c r="D14" s="15" t="s">
        <v>1176</v>
      </c>
      <c r="E14" s="15" t="s">
        <v>1873</v>
      </c>
      <c r="F14" s="15" t="s">
        <v>1874</v>
      </c>
      <c r="G14" t="e">
        <f>VLOOKUP(A14,'ALL Projects'!$A$2:$E$513,2,0)</f>
        <v>#N/A</v>
      </c>
    </row>
    <row r="15" spans="1:7">
      <c r="A15" s="15">
        <v>221000424</v>
      </c>
      <c r="B15" s="15" t="s">
        <v>1185</v>
      </c>
      <c r="C15" s="15" t="s">
        <v>1186</v>
      </c>
      <c r="D15" s="15" t="s">
        <v>1176</v>
      </c>
      <c r="E15" s="15" t="s">
        <v>1873</v>
      </c>
      <c r="F15" s="15" t="s">
        <v>1874</v>
      </c>
      <c r="G15" t="e">
        <f>VLOOKUP(A15,'ALL Projects'!$A$2:$E$513,2,0)</f>
        <v>#N/A</v>
      </c>
    </row>
    <row r="16" spans="1:7">
      <c r="A16" s="15">
        <v>221001592</v>
      </c>
      <c r="B16" s="15" t="s">
        <v>1881</v>
      </c>
      <c r="C16" s="15" t="s">
        <v>1220</v>
      </c>
      <c r="D16" s="15" t="s">
        <v>1176</v>
      </c>
      <c r="E16" s="15" t="s">
        <v>1873</v>
      </c>
      <c r="F16" s="15" t="s">
        <v>1874</v>
      </c>
      <c r="G16" t="e">
        <f>VLOOKUP(A16,'ALL Projects'!$A$2:$E$513,2,0)</f>
        <v>#N/A</v>
      </c>
    </row>
    <row r="17" spans="1:7">
      <c r="A17" s="15">
        <v>221000570</v>
      </c>
      <c r="B17" s="15" t="s">
        <v>1243</v>
      </c>
      <c r="C17" s="15" t="s">
        <v>1244</v>
      </c>
      <c r="D17" s="15" t="s">
        <v>1176</v>
      </c>
      <c r="E17" s="15" t="s">
        <v>1873</v>
      </c>
      <c r="F17" s="15" t="s">
        <v>1874</v>
      </c>
      <c r="G17" t="e">
        <f>VLOOKUP(A17,'ALL Projects'!$A$2:$E$513,2,0)</f>
        <v>#N/A</v>
      </c>
    </row>
    <row r="18" spans="1:7">
      <c r="A18" s="15">
        <v>221001237</v>
      </c>
      <c r="B18" s="15" t="s">
        <v>1882</v>
      </c>
      <c r="C18" s="15" t="s">
        <v>1214</v>
      </c>
      <c r="D18" s="15" t="s">
        <v>1176</v>
      </c>
      <c r="E18" s="15" t="s">
        <v>1873</v>
      </c>
      <c r="F18" s="15" t="s">
        <v>1874</v>
      </c>
      <c r="G18" t="e">
        <f>VLOOKUP(A18,'ALL Projects'!$A$2:$E$513,2,0)</f>
        <v>#N/A</v>
      </c>
    </row>
    <row r="19" spans="1:7">
      <c r="A19" s="15">
        <v>221000123</v>
      </c>
      <c r="B19" s="15" t="s">
        <v>1197</v>
      </c>
      <c r="C19" s="15" t="s">
        <v>1198</v>
      </c>
      <c r="D19" s="15" t="s">
        <v>1176</v>
      </c>
      <c r="E19" s="15" t="s">
        <v>1873</v>
      </c>
      <c r="F19" s="15" t="s">
        <v>1874</v>
      </c>
      <c r="G19" t="e">
        <f>VLOOKUP(A19,'ALL Projects'!$A$2:$E$513,2,0)</f>
        <v>#N/A</v>
      </c>
    </row>
    <row r="20" spans="1:7">
      <c r="A20" s="15">
        <v>221000062</v>
      </c>
      <c r="B20" s="15" t="s">
        <v>1249</v>
      </c>
      <c r="C20" s="15" t="s">
        <v>1250</v>
      </c>
      <c r="D20" s="15" t="s">
        <v>1176</v>
      </c>
      <c r="E20" s="15" t="s">
        <v>1873</v>
      </c>
      <c r="F20" s="15" t="s">
        <v>1874</v>
      </c>
      <c r="G20" t="e">
        <f>VLOOKUP(A20,'ALL Projects'!$A$2:$E$513,2,0)</f>
        <v>#N/A</v>
      </c>
    </row>
    <row r="21" spans="1:7">
      <c r="A21" s="15">
        <v>221000770</v>
      </c>
      <c r="B21" s="15" t="s">
        <v>1207</v>
      </c>
      <c r="C21" s="15" t="s">
        <v>1208</v>
      </c>
      <c r="D21" s="15" t="s">
        <v>1176</v>
      </c>
      <c r="E21" s="15" t="s">
        <v>1873</v>
      </c>
      <c r="F21" s="15" t="s">
        <v>1874</v>
      </c>
      <c r="G21" t="e">
        <f>VLOOKUP(A21,'ALL Projects'!$A$2:$E$513,2,0)</f>
        <v>#N/A</v>
      </c>
    </row>
    <row r="22" spans="1:7">
      <c r="A22" s="15">
        <v>221000410</v>
      </c>
      <c r="B22" s="15" t="s">
        <v>1187</v>
      </c>
      <c r="C22" s="15" t="s">
        <v>1188</v>
      </c>
      <c r="D22" s="15" t="s">
        <v>1176</v>
      </c>
      <c r="E22" s="15" t="s">
        <v>1873</v>
      </c>
      <c r="F22" s="15" t="s">
        <v>1874</v>
      </c>
      <c r="G22" t="e">
        <f>VLOOKUP(A22,'ALL Projects'!$A$2:$E$513,2,0)</f>
        <v>#N/A</v>
      </c>
    </row>
    <row r="23" spans="1:7">
      <c r="A23" s="15">
        <v>221001055</v>
      </c>
      <c r="B23" s="15" t="s">
        <v>1271</v>
      </c>
      <c r="C23" s="15" t="s">
        <v>1272</v>
      </c>
      <c r="D23" s="15" t="s">
        <v>1176</v>
      </c>
      <c r="E23" s="15" t="s">
        <v>1873</v>
      </c>
      <c r="F23" s="15" t="s">
        <v>1874</v>
      </c>
      <c r="G23" t="e">
        <f>VLOOKUP(A23,'ALL Projects'!$A$2:$E$513,2,0)</f>
        <v>#N/A</v>
      </c>
    </row>
    <row r="24" spans="1:7">
      <c r="A24" s="15">
        <v>221001646</v>
      </c>
      <c r="B24" s="15" t="s">
        <v>1883</v>
      </c>
      <c r="C24" s="15" t="s">
        <v>1236</v>
      </c>
      <c r="D24" s="15" t="s">
        <v>1176</v>
      </c>
      <c r="E24" s="15" t="s">
        <v>1873</v>
      </c>
      <c r="F24" s="15" t="s">
        <v>1874</v>
      </c>
      <c r="G24" t="e">
        <f>VLOOKUP(A24,'ALL Projects'!$A$2:$E$513,2,0)</f>
        <v>#N/A</v>
      </c>
    </row>
    <row r="25" spans="1:7">
      <c r="A25" s="15">
        <v>221000828</v>
      </c>
      <c r="B25" s="15" t="s">
        <v>1884</v>
      </c>
      <c r="C25" s="15" t="s">
        <v>1190</v>
      </c>
      <c r="D25" s="15" t="s">
        <v>1176</v>
      </c>
      <c r="E25" s="15" t="s">
        <v>1873</v>
      </c>
      <c r="F25" s="15" t="s">
        <v>1874</v>
      </c>
      <c r="G25" t="e">
        <f>VLOOKUP(A25,'ALL Projects'!$A$2:$E$513,2,0)</f>
        <v>#N/A</v>
      </c>
    </row>
    <row r="26" spans="1:7">
      <c r="A26" s="15">
        <v>221000347</v>
      </c>
      <c r="B26" s="15" t="s">
        <v>1201</v>
      </c>
      <c r="C26" s="15" t="s">
        <v>1202</v>
      </c>
      <c r="D26" s="15" t="s">
        <v>1176</v>
      </c>
      <c r="E26" s="15" t="s">
        <v>1873</v>
      </c>
      <c r="F26" s="15" t="s">
        <v>1874</v>
      </c>
      <c r="G26" t="e">
        <f>VLOOKUP(A26,'ALL Projects'!$A$2:$E$513,2,0)</f>
        <v>#N/A</v>
      </c>
    </row>
    <row r="27" spans="1:7">
      <c r="A27" s="15">
        <v>221001470</v>
      </c>
      <c r="B27" s="15" t="s">
        <v>1885</v>
      </c>
      <c r="C27" s="15" t="s">
        <v>1232</v>
      </c>
      <c r="D27" s="15" t="s">
        <v>1176</v>
      </c>
      <c r="E27" s="15" t="s">
        <v>1873</v>
      </c>
      <c r="F27" s="15" t="s">
        <v>1874</v>
      </c>
      <c r="G27" t="e">
        <f>VLOOKUP(A27,'ALL Projects'!$A$2:$E$513,2,0)</f>
        <v>#N/A</v>
      </c>
    </row>
    <row r="28" spans="1:7">
      <c r="A28" s="15">
        <v>221000744</v>
      </c>
      <c r="B28" s="15" t="s">
        <v>1261</v>
      </c>
      <c r="C28" s="15" t="s">
        <v>1262</v>
      </c>
      <c r="D28" s="15" t="s">
        <v>1176</v>
      </c>
      <c r="E28" s="15" t="s">
        <v>1873</v>
      </c>
      <c r="F28" s="15" t="s">
        <v>1874</v>
      </c>
      <c r="G28" t="e">
        <f>VLOOKUP(A28,'ALL Projects'!$A$2:$E$513,2,0)</f>
        <v>#N/A</v>
      </c>
    </row>
    <row r="29" spans="1:7">
      <c r="A29" s="15">
        <v>221000117</v>
      </c>
      <c r="B29" s="15" t="s">
        <v>1239</v>
      </c>
      <c r="C29" s="15" t="s">
        <v>1240</v>
      </c>
      <c r="D29" s="15" t="s">
        <v>1176</v>
      </c>
      <c r="E29" s="15" t="s">
        <v>1873</v>
      </c>
      <c r="F29" s="15" t="s">
        <v>1874</v>
      </c>
      <c r="G29" t="e">
        <f>VLOOKUP(A29,'ALL Projects'!$A$2:$E$513,2,0)</f>
        <v>#N/A</v>
      </c>
    </row>
    <row r="30" spans="1:7">
      <c r="A30" s="15">
        <v>221000086</v>
      </c>
      <c r="B30" s="15" t="s">
        <v>1251</v>
      </c>
      <c r="C30" s="15" t="s">
        <v>1252</v>
      </c>
      <c r="D30" s="15" t="s">
        <v>1176</v>
      </c>
      <c r="E30" s="15" t="s">
        <v>1873</v>
      </c>
      <c r="F30" s="15" t="s">
        <v>1874</v>
      </c>
      <c r="G30" t="e">
        <f>VLOOKUP(A30,'ALL Projects'!$A$2:$E$513,2,0)</f>
        <v>#N/A</v>
      </c>
    </row>
    <row r="31" spans="1:7">
      <c r="A31" s="15">
        <v>221000728</v>
      </c>
      <c r="B31" s="15" t="s">
        <v>1279</v>
      </c>
      <c r="C31" s="15" t="s">
        <v>1280</v>
      </c>
      <c r="D31" s="15" t="s">
        <v>1176</v>
      </c>
      <c r="E31" s="15" t="s">
        <v>1873</v>
      </c>
      <c r="F31" s="15" t="s">
        <v>1874</v>
      </c>
      <c r="G31" t="e">
        <f>VLOOKUP(A31,'ALL Projects'!$A$2:$E$513,2,0)</f>
        <v>#N/A</v>
      </c>
    </row>
    <row r="32" spans="1:7">
      <c r="A32" s="15">
        <v>221001701</v>
      </c>
      <c r="B32" s="15" t="s">
        <v>1223</v>
      </c>
      <c r="C32" s="15" t="s">
        <v>1224</v>
      </c>
      <c r="D32" s="15" t="s">
        <v>1176</v>
      </c>
      <c r="E32" s="15" t="s">
        <v>1873</v>
      </c>
      <c r="F32" s="15" t="s">
        <v>1874</v>
      </c>
      <c r="G32" t="e">
        <f>VLOOKUP(A32,'ALL Projects'!$A$2:$E$513,2,0)</f>
        <v>#N/A</v>
      </c>
    </row>
    <row r="33" spans="1:7">
      <c r="A33" s="15">
        <v>221001565</v>
      </c>
      <c r="B33" s="15" t="s">
        <v>1217</v>
      </c>
      <c r="C33" s="15" t="s">
        <v>1218</v>
      </c>
      <c r="D33" s="15" t="s">
        <v>1176</v>
      </c>
      <c r="E33" s="15" t="s">
        <v>1873</v>
      </c>
      <c r="F33" s="15" t="s">
        <v>1874</v>
      </c>
      <c r="G33" t="e">
        <f>VLOOKUP(A33,'ALL Projects'!$A$2:$E$513,2,0)</f>
        <v>#N/A</v>
      </c>
    </row>
    <row r="34" spans="1:7">
      <c r="A34" s="15">
        <v>221001882</v>
      </c>
      <c r="B34" s="15" t="s">
        <v>1275</v>
      </c>
      <c r="C34" s="15" t="s">
        <v>1276</v>
      </c>
      <c r="D34" s="15" t="s">
        <v>1176</v>
      </c>
      <c r="E34" s="15" t="s">
        <v>1873</v>
      </c>
      <c r="F34" s="15" t="s">
        <v>1874</v>
      </c>
      <c r="G34" t="e">
        <f>VLOOKUP(A34,'ALL Projects'!$A$2:$E$513,2,0)</f>
        <v>#N/A</v>
      </c>
    </row>
    <row r="35" spans="1:7">
      <c r="A35" s="15">
        <v>221001647</v>
      </c>
      <c r="B35" s="15" t="s">
        <v>1221</v>
      </c>
      <c r="C35" s="15" t="s">
        <v>1222</v>
      </c>
      <c r="D35" s="15" t="s">
        <v>1176</v>
      </c>
      <c r="E35" s="15" t="s">
        <v>1873</v>
      </c>
      <c r="F35" s="15" t="s">
        <v>1874</v>
      </c>
      <c r="G35" t="e">
        <f>VLOOKUP(A35,'ALL Projects'!$A$2:$E$513,2,0)</f>
        <v>#N/A</v>
      </c>
    </row>
    <row r="36" spans="1:7">
      <c r="A36" s="15">
        <v>221001815</v>
      </c>
      <c r="B36" s="15" t="s">
        <v>1257</v>
      </c>
      <c r="C36" s="15" t="s">
        <v>1258</v>
      </c>
      <c r="D36" s="15" t="s">
        <v>1176</v>
      </c>
      <c r="E36" s="15" t="s">
        <v>1873</v>
      </c>
      <c r="F36" s="15" t="s">
        <v>1874</v>
      </c>
      <c r="G36" t="e">
        <f>VLOOKUP(A36,'ALL Projects'!$A$2:$E$513,2,0)</f>
        <v>#N/A</v>
      </c>
    </row>
    <row r="37" spans="1:7">
      <c r="A37" s="15">
        <v>221000142</v>
      </c>
      <c r="B37" s="15" t="s">
        <v>1199</v>
      </c>
      <c r="C37" s="15" t="s">
        <v>1200</v>
      </c>
      <c r="D37" s="15" t="s">
        <v>1176</v>
      </c>
      <c r="E37" s="15" t="s">
        <v>1873</v>
      </c>
      <c r="F37" s="15" t="s">
        <v>1874</v>
      </c>
      <c r="G37" t="e">
        <f>VLOOKUP(A37,'ALL Projects'!$A$2:$E$513,2,0)</f>
        <v>#N/A</v>
      </c>
    </row>
    <row r="38" spans="1:7">
      <c r="A38" s="15">
        <v>221000432</v>
      </c>
      <c r="B38" s="15" t="s">
        <v>1181</v>
      </c>
      <c r="C38" s="15" t="s">
        <v>1182</v>
      </c>
      <c r="D38" s="15" t="s">
        <v>1176</v>
      </c>
      <c r="E38" s="15" t="s">
        <v>1873</v>
      </c>
      <c r="F38" s="15" t="s">
        <v>1874</v>
      </c>
      <c r="G38" t="e">
        <f>VLOOKUP(A38,'ALL Projects'!$A$2:$E$513,2,0)</f>
        <v>#N/A</v>
      </c>
    </row>
    <row r="39" spans="1:7">
      <c r="A39" s="15">
        <v>221001493</v>
      </c>
      <c r="B39" s="15" t="s">
        <v>1233</v>
      </c>
      <c r="C39" s="15" t="s">
        <v>1234</v>
      </c>
      <c r="D39" s="15" t="s">
        <v>1176</v>
      </c>
      <c r="E39" s="15" t="s">
        <v>1873</v>
      </c>
      <c r="F39" s="15" t="s">
        <v>1874</v>
      </c>
      <c r="G39" t="e">
        <f>VLOOKUP(A39,'ALL Projects'!$A$2:$E$513,2,0)</f>
        <v>#N/A</v>
      </c>
    </row>
    <row r="40" spans="1:7">
      <c r="A40" s="15">
        <v>221001704</v>
      </c>
      <c r="B40" s="15" t="s">
        <v>1255</v>
      </c>
      <c r="C40" s="15" t="s">
        <v>1256</v>
      </c>
      <c r="D40" s="15" t="s">
        <v>1176</v>
      </c>
      <c r="E40" s="15" t="s">
        <v>1873</v>
      </c>
      <c r="F40" s="15" t="s">
        <v>1874</v>
      </c>
      <c r="G40" t="e">
        <f>VLOOKUP(A40,'ALL Projects'!$A$2:$E$513,2,0)</f>
        <v>#N/A</v>
      </c>
    </row>
    <row r="41" spans="1:7">
      <c r="A41" s="15">
        <v>221000147</v>
      </c>
      <c r="B41" s="15" t="s">
        <v>1886</v>
      </c>
      <c r="C41" s="15" t="s">
        <v>1228</v>
      </c>
      <c r="D41" s="15" t="s">
        <v>1176</v>
      </c>
      <c r="E41" s="15" t="s">
        <v>1873</v>
      </c>
      <c r="F41" s="15" t="s">
        <v>1874</v>
      </c>
      <c r="G41" t="e">
        <f>VLOOKUP(A41,'ALL Projects'!$A$2:$E$513,2,0)</f>
        <v>#N/A</v>
      </c>
    </row>
    <row r="42" spans="1:7">
      <c r="A42" s="15">
        <v>221001347</v>
      </c>
      <c r="B42" s="15" t="s">
        <v>1229</v>
      </c>
      <c r="C42" s="15" t="s">
        <v>1230</v>
      </c>
      <c r="D42" s="15" t="s">
        <v>1176</v>
      </c>
      <c r="E42" s="15" t="s">
        <v>1873</v>
      </c>
      <c r="F42" s="15" t="s">
        <v>1874</v>
      </c>
      <c r="G42" t="e">
        <f>VLOOKUP(A42,'ALL Projects'!$A$2:$E$513,2,0)</f>
        <v>#N/A</v>
      </c>
    </row>
    <row r="43" spans="1:7">
      <c r="A43" s="15">
        <v>221000759</v>
      </c>
      <c r="B43" s="15" t="s">
        <v>1205</v>
      </c>
      <c r="C43" s="15" t="s">
        <v>1206</v>
      </c>
      <c r="D43" s="15" t="s">
        <v>1176</v>
      </c>
      <c r="E43" s="15" t="s">
        <v>1873</v>
      </c>
      <c r="F43" s="15" t="s">
        <v>1874</v>
      </c>
      <c r="G43" t="e">
        <f>VLOOKUP(A43,'ALL Projects'!$A$2:$E$513,2,0)</f>
        <v>#N/A</v>
      </c>
    </row>
    <row r="44" spans="1:7">
      <c r="A44" s="15">
        <v>221001554</v>
      </c>
      <c r="B44" s="15" t="s">
        <v>1177</v>
      </c>
      <c r="C44" s="15" t="s">
        <v>1178</v>
      </c>
      <c r="D44" s="15" t="s">
        <v>1176</v>
      </c>
      <c r="E44" s="15" t="s">
        <v>1873</v>
      </c>
      <c r="F44" s="15" t="s">
        <v>1874</v>
      </c>
      <c r="G44" t="e">
        <f>VLOOKUP(A44,'ALL Projects'!$A$2:$E$513,2,0)</f>
        <v>#N/A</v>
      </c>
    </row>
    <row r="45" spans="1:7">
      <c r="A45" s="15">
        <v>221000166</v>
      </c>
      <c r="B45" s="15" t="s">
        <v>1887</v>
      </c>
      <c r="C45" s="15" t="s">
        <v>1278</v>
      </c>
      <c r="D45" s="15" t="s">
        <v>1176</v>
      </c>
      <c r="E45" s="15" t="s">
        <v>1873</v>
      </c>
      <c r="F45" s="15" t="s">
        <v>1874</v>
      </c>
      <c r="G45" t="e">
        <f>VLOOKUP(A45,'ALL Projects'!$A$2:$E$513,2,0)</f>
        <v>#N/A</v>
      </c>
    </row>
    <row r="46" spans="1:7">
      <c r="A46" s="15">
        <v>221002051</v>
      </c>
      <c r="B46" s="15" t="s">
        <v>1888</v>
      </c>
      <c r="C46" s="15" t="s">
        <v>1194</v>
      </c>
      <c r="D46" s="15" t="s">
        <v>1176</v>
      </c>
      <c r="E46" s="15" t="s">
        <v>1873</v>
      </c>
      <c r="F46" s="15" t="s">
        <v>1874</v>
      </c>
      <c r="G46" t="e">
        <f>VLOOKUP(A46,'ALL Projects'!$A$2:$E$513,2,0)</f>
        <v>#N/A</v>
      </c>
    </row>
    <row r="47" spans="1:7">
      <c r="A47" s="15">
        <v>221000645</v>
      </c>
      <c r="B47" s="15" t="s">
        <v>1203</v>
      </c>
      <c r="C47" s="15" t="s">
        <v>1204</v>
      </c>
      <c r="D47" s="15" t="s">
        <v>1176</v>
      </c>
      <c r="E47" s="15" t="s">
        <v>1873</v>
      </c>
      <c r="F47" s="15" t="s">
        <v>1874</v>
      </c>
      <c r="G47" t="e">
        <f>VLOOKUP(A47,'ALL Projects'!$A$2:$E$513,2,0)</f>
        <v>#N/A</v>
      </c>
    </row>
    <row r="48" spans="1:7">
      <c r="A48" s="15">
        <v>221000927</v>
      </c>
      <c r="B48" s="15" t="s">
        <v>1253</v>
      </c>
      <c r="C48" s="15" t="s">
        <v>1254</v>
      </c>
      <c r="D48" s="15" t="s">
        <v>1176</v>
      </c>
      <c r="E48" s="15" t="s">
        <v>1873</v>
      </c>
      <c r="F48" s="15" t="s">
        <v>1874</v>
      </c>
      <c r="G48" t="e">
        <f>VLOOKUP(A48,'ALL Projects'!$A$2:$E$513,2,0)</f>
        <v>#N/A</v>
      </c>
    </row>
    <row r="49" spans="1:7">
      <c r="A49" s="15">
        <v>221000024</v>
      </c>
      <c r="B49" s="15" t="s">
        <v>1267</v>
      </c>
      <c r="C49" s="15" t="s">
        <v>1268</v>
      </c>
      <c r="D49" s="15" t="s">
        <v>1176</v>
      </c>
      <c r="E49" s="15" t="s">
        <v>1873</v>
      </c>
      <c r="F49" s="15" t="s">
        <v>1874</v>
      </c>
      <c r="G49" t="e">
        <f>VLOOKUP(A49,'ALL Projects'!$A$2:$E$513,2,0)</f>
        <v>#N/A</v>
      </c>
    </row>
    <row r="50" spans="1:7">
      <c r="A50" s="15">
        <v>221000072</v>
      </c>
      <c r="B50" s="15" t="s">
        <v>1237</v>
      </c>
      <c r="C50" s="15" t="s">
        <v>1238</v>
      </c>
      <c r="D50" s="15" t="s">
        <v>1176</v>
      </c>
      <c r="E50" s="15" t="s">
        <v>1873</v>
      </c>
      <c r="F50" s="15" t="s">
        <v>1874</v>
      </c>
      <c r="G50" t="e">
        <f>VLOOKUP(A50,'ALL Projects'!$A$2:$E$513,2,0)</f>
        <v>#N/A</v>
      </c>
    </row>
    <row r="51" spans="1:7">
      <c r="A51" s="15">
        <v>202000963</v>
      </c>
      <c r="B51" s="15" t="s">
        <v>1183</v>
      </c>
      <c r="C51" s="15" t="s">
        <v>1184</v>
      </c>
      <c r="D51" s="15" t="s">
        <v>1176</v>
      </c>
      <c r="E51" s="15" t="s">
        <v>1873</v>
      </c>
      <c r="F51" s="15" t="s">
        <v>1874</v>
      </c>
      <c r="G51" t="e">
        <f>VLOOKUP(A51,'ALL Projects'!$A$2:$E$513,2,0)</f>
        <v>#N/A</v>
      </c>
    </row>
    <row r="52" spans="1:7">
      <c r="A52" s="19">
        <v>221001199</v>
      </c>
      <c r="B52" s="19" t="s">
        <v>1889</v>
      </c>
      <c r="C52" s="19" t="s">
        <v>1890</v>
      </c>
      <c r="D52" s="17" t="s">
        <v>1176</v>
      </c>
      <c r="E52" s="17" t="s">
        <v>1891</v>
      </c>
      <c r="F52" s="17" t="s">
        <v>1874</v>
      </c>
      <c r="G52" t="e">
        <f>VLOOKUP(A52,'ALL Projects'!$A$2:$E$513,2,0)</f>
        <v>#N/A</v>
      </c>
    </row>
    <row r="53" spans="1:7">
      <c r="A53" s="19">
        <v>211000633</v>
      </c>
      <c r="B53" s="19" t="s">
        <v>1892</v>
      </c>
      <c r="C53" s="19" t="s">
        <v>1893</v>
      </c>
      <c r="D53" s="17" t="s">
        <v>1176</v>
      </c>
      <c r="E53" s="17" t="s">
        <v>1891</v>
      </c>
      <c r="F53" s="17" t="s">
        <v>1874</v>
      </c>
      <c r="G53" t="e">
        <f>VLOOKUP(A53,'ALL Projects'!$A$2:$E$513,2,0)</f>
        <v>#N/A</v>
      </c>
    </row>
    <row r="54" spans="1:7">
      <c r="A54" s="19">
        <v>202000656</v>
      </c>
      <c r="B54" s="19" t="s">
        <v>1894</v>
      </c>
      <c r="C54" s="19" t="s">
        <v>1895</v>
      </c>
      <c r="D54" s="17" t="s">
        <v>1176</v>
      </c>
      <c r="E54" s="17" t="s">
        <v>1891</v>
      </c>
      <c r="F54" s="17" t="s">
        <v>1874</v>
      </c>
      <c r="G54" t="e">
        <f>VLOOKUP(A54,'ALL Projects'!$A$2:$E$513,2,0)</f>
        <v>#N/A</v>
      </c>
    </row>
    <row r="55" spans="1:7">
      <c r="A55" s="19">
        <v>221002230</v>
      </c>
      <c r="B55" s="19" t="s">
        <v>1896</v>
      </c>
      <c r="C55" s="19" t="s">
        <v>1897</v>
      </c>
      <c r="D55" s="17" t="s">
        <v>1176</v>
      </c>
      <c r="E55" s="17" t="s">
        <v>1891</v>
      </c>
      <c r="F55" s="17" t="s">
        <v>1874</v>
      </c>
      <c r="G55" t="e">
        <f>VLOOKUP(A55,'ALL Projects'!$A$2:$E$513,2,0)</f>
        <v>#N/A</v>
      </c>
    </row>
    <row r="56" spans="1:7">
      <c r="A56" s="19">
        <v>221001619</v>
      </c>
      <c r="B56" s="19" t="s">
        <v>1898</v>
      </c>
      <c r="C56" s="19" t="s">
        <v>1899</v>
      </c>
      <c r="D56" s="17" t="s">
        <v>1176</v>
      </c>
      <c r="E56" s="17" t="s">
        <v>1891</v>
      </c>
      <c r="F56" s="17" t="s">
        <v>1874</v>
      </c>
      <c r="G56" t="e">
        <f>VLOOKUP(A56,'ALL Projects'!$A$2:$E$513,2,0)</f>
        <v>#N/A</v>
      </c>
    </row>
    <row r="57" spans="1:7">
      <c r="A57" s="19">
        <v>211000479</v>
      </c>
      <c r="B57" s="19" t="s">
        <v>1900</v>
      </c>
      <c r="C57" s="19" t="s">
        <v>1901</v>
      </c>
      <c r="D57" s="17" t="s">
        <v>1176</v>
      </c>
      <c r="E57" s="17" t="s">
        <v>1891</v>
      </c>
      <c r="F57" s="17" t="s">
        <v>1874</v>
      </c>
      <c r="G57" t="e">
        <f>VLOOKUP(A57,'ALL Projects'!$A$2:$E$513,2,0)</f>
        <v>#N/A</v>
      </c>
    </row>
    <row r="58" spans="1:7">
      <c r="A58" s="19">
        <v>221000002</v>
      </c>
      <c r="B58" s="19" t="s">
        <v>1902</v>
      </c>
      <c r="C58" s="19" t="s">
        <v>1903</v>
      </c>
      <c r="D58" s="17" t="s">
        <v>1176</v>
      </c>
      <c r="E58" s="17" t="s">
        <v>1891</v>
      </c>
      <c r="F58" s="17" t="s">
        <v>1874</v>
      </c>
      <c r="G58" t="e">
        <f>VLOOKUP(A58,'ALL Projects'!$A$2:$E$513,2,0)</f>
        <v>#N/A</v>
      </c>
    </row>
    <row r="59" spans="1:7">
      <c r="A59" s="19">
        <v>221000965</v>
      </c>
      <c r="B59" s="19" t="s">
        <v>1904</v>
      </c>
      <c r="C59" s="19" t="s">
        <v>1905</v>
      </c>
      <c r="D59" s="17" t="s">
        <v>1176</v>
      </c>
      <c r="E59" s="17" t="s">
        <v>1891</v>
      </c>
      <c r="F59" s="17" t="s">
        <v>1874</v>
      </c>
      <c r="G59" t="e">
        <f>VLOOKUP(A59,'ALL Projects'!$A$2:$E$513,2,0)</f>
        <v>#N/A</v>
      </c>
    </row>
    <row r="60" spans="1:7">
      <c r="A60" s="19">
        <v>221001425</v>
      </c>
      <c r="B60" s="19" t="s">
        <v>1906</v>
      </c>
      <c r="C60" s="19" t="s">
        <v>1907</v>
      </c>
      <c r="D60" s="17" t="s">
        <v>1176</v>
      </c>
      <c r="E60" s="17" t="s">
        <v>1891</v>
      </c>
      <c r="F60" s="17" t="s">
        <v>1874</v>
      </c>
      <c r="G60" t="e">
        <f>VLOOKUP(A60,'ALL Projects'!$A$2:$E$513,2,0)</f>
        <v>#N/A</v>
      </c>
    </row>
    <row r="61" spans="1:7">
      <c r="A61" s="19">
        <v>221000703</v>
      </c>
      <c r="B61" s="19" t="s">
        <v>1908</v>
      </c>
      <c r="C61" s="19" t="s">
        <v>1909</v>
      </c>
      <c r="D61" s="17" t="s">
        <v>1176</v>
      </c>
      <c r="E61" s="17" t="s">
        <v>1891</v>
      </c>
      <c r="F61" s="17" t="s">
        <v>1874</v>
      </c>
      <c r="G61" t="e">
        <f>VLOOKUP(A61,'ALL Projects'!$A$2:$E$513,2,0)</f>
        <v>#N/A</v>
      </c>
    </row>
    <row r="62" spans="1:7">
      <c r="A62" s="19">
        <v>221000001</v>
      </c>
      <c r="B62" s="19" t="s">
        <v>1910</v>
      </c>
      <c r="C62" s="19" t="s">
        <v>1911</v>
      </c>
      <c r="D62" s="17" t="s">
        <v>1176</v>
      </c>
      <c r="E62" s="17" t="s">
        <v>1891</v>
      </c>
      <c r="F62" s="17" t="s">
        <v>1874</v>
      </c>
      <c r="G62" t="e">
        <f>VLOOKUP(A62,'ALL Projects'!$A$2:$E$513,2,0)</f>
        <v>#N/A</v>
      </c>
    </row>
    <row r="63" spans="1:7">
      <c r="A63" s="19">
        <v>221000241</v>
      </c>
      <c r="B63" s="19" t="s">
        <v>1912</v>
      </c>
      <c r="C63" s="19" t="s">
        <v>1913</v>
      </c>
      <c r="D63" s="17" t="s">
        <v>1176</v>
      </c>
      <c r="E63" s="17" t="s">
        <v>1891</v>
      </c>
      <c r="F63" s="17" t="s">
        <v>1874</v>
      </c>
      <c r="G63" t="e">
        <f>VLOOKUP(A63,'ALL Projects'!$A$2:$E$513,2,0)</f>
        <v>#N/A</v>
      </c>
    </row>
    <row r="64" spans="1:7">
      <c r="A64" s="19">
        <v>202001226</v>
      </c>
      <c r="B64" s="19" t="s">
        <v>1914</v>
      </c>
      <c r="C64" s="19" t="s">
        <v>1915</v>
      </c>
      <c r="D64" s="17" t="s">
        <v>1176</v>
      </c>
      <c r="E64" s="17" t="s">
        <v>1891</v>
      </c>
      <c r="F64" s="17" t="s">
        <v>1874</v>
      </c>
      <c r="G64" t="e">
        <f>VLOOKUP(A64,'ALL Projects'!$A$2:$E$513,2,0)</f>
        <v>#N/A</v>
      </c>
    </row>
    <row r="65" spans="1:7">
      <c r="A65" s="15">
        <v>202001249</v>
      </c>
      <c r="B65" s="15" t="s">
        <v>1334</v>
      </c>
      <c r="C65" s="15" t="s">
        <v>1335</v>
      </c>
      <c r="D65" s="15" t="s">
        <v>1281</v>
      </c>
      <c r="E65" s="15" t="s">
        <v>1916</v>
      </c>
      <c r="F65" s="15" t="s">
        <v>1874</v>
      </c>
      <c r="G65" t="e">
        <f>VLOOKUP(A65,'ALL Projects'!$A$2:$E$513,2,0)</f>
        <v>#N/A</v>
      </c>
    </row>
    <row r="66" spans="1:7">
      <c r="A66" s="15">
        <v>221001120</v>
      </c>
      <c r="B66" s="15" t="s">
        <v>1917</v>
      </c>
      <c r="C66" s="15" t="s">
        <v>1313</v>
      </c>
      <c r="D66" s="15" t="s">
        <v>1281</v>
      </c>
      <c r="E66" s="15" t="s">
        <v>1916</v>
      </c>
      <c r="F66" s="15" t="s">
        <v>1874</v>
      </c>
      <c r="G66" t="e">
        <f>VLOOKUP(A66,'ALL Projects'!$A$2:$E$513,2,0)</f>
        <v>#N/A</v>
      </c>
    </row>
    <row r="67" spans="1:7">
      <c r="A67" s="15">
        <v>221002092</v>
      </c>
      <c r="B67" s="15" t="s">
        <v>1338</v>
      </c>
      <c r="C67" s="15" t="s">
        <v>1339</v>
      </c>
      <c r="D67" s="15" t="s">
        <v>1281</v>
      </c>
      <c r="E67" s="15" t="s">
        <v>1916</v>
      </c>
      <c r="F67" s="15" t="s">
        <v>1874</v>
      </c>
      <c r="G67" t="e">
        <f>VLOOKUP(A67,'ALL Projects'!$A$2:$E$513,2,0)</f>
        <v>#N/A</v>
      </c>
    </row>
    <row r="68" spans="1:7">
      <c r="A68" s="15">
        <v>221001505</v>
      </c>
      <c r="B68" s="15" t="s">
        <v>1918</v>
      </c>
      <c r="C68" s="15" t="s">
        <v>1297</v>
      </c>
      <c r="D68" s="15" t="s">
        <v>1281</v>
      </c>
      <c r="E68" s="15" t="s">
        <v>1916</v>
      </c>
      <c r="F68" s="15" t="s">
        <v>1874</v>
      </c>
      <c r="G68" t="e">
        <f>VLOOKUP(A68,'ALL Projects'!$A$2:$E$513,2,0)</f>
        <v>#N/A</v>
      </c>
    </row>
    <row r="69" spans="1:7">
      <c r="A69" s="15">
        <v>221001548</v>
      </c>
      <c r="B69" s="15" t="s">
        <v>1300</v>
      </c>
      <c r="C69" s="15" t="s">
        <v>1301</v>
      </c>
      <c r="D69" s="15" t="s">
        <v>1281</v>
      </c>
      <c r="E69" s="15" t="s">
        <v>1916</v>
      </c>
      <c r="F69" s="15" t="s">
        <v>1874</v>
      </c>
      <c r="G69" t="e">
        <f>VLOOKUP(A69,'ALL Projects'!$A$2:$E$513,2,0)</f>
        <v>#N/A</v>
      </c>
    </row>
    <row r="70" spans="1:7">
      <c r="A70" s="15">
        <v>221001923</v>
      </c>
      <c r="B70" s="15" t="s">
        <v>1328</v>
      </c>
      <c r="C70" s="15" t="s">
        <v>1329</v>
      </c>
      <c r="D70" s="15" t="s">
        <v>1281</v>
      </c>
      <c r="E70" s="15" t="s">
        <v>1916</v>
      </c>
      <c r="F70" s="15" t="s">
        <v>1874</v>
      </c>
      <c r="G70" t="e">
        <f>VLOOKUP(A70,'ALL Projects'!$A$2:$E$513,2,0)</f>
        <v>#N/A</v>
      </c>
    </row>
    <row r="71" spans="1:7">
      <c r="A71" s="15">
        <v>221001244</v>
      </c>
      <c r="B71" s="15" t="s">
        <v>1342</v>
      </c>
      <c r="C71" s="15" t="s">
        <v>1343</v>
      </c>
      <c r="D71" s="15" t="s">
        <v>1281</v>
      </c>
      <c r="E71" s="15" t="s">
        <v>1916</v>
      </c>
      <c r="F71" s="15" t="s">
        <v>1874</v>
      </c>
      <c r="G71" t="e">
        <f>VLOOKUP(A71,'ALL Projects'!$A$2:$E$513,2,0)</f>
        <v>#N/A</v>
      </c>
    </row>
    <row r="72" spans="1:7">
      <c r="A72" s="15">
        <v>221001958</v>
      </c>
      <c r="B72" s="15" t="s">
        <v>1919</v>
      </c>
      <c r="C72" s="15" t="s">
        <v>1305</v>
      </c>
      <c r="D72" s="15" t="s">
        <v>1281</v>
      </c>
      <c r="E72" s="15" t="s">
        <v>1916</v>
      </c>
      <c r="F72" s="15" t="s">
        <v>1874</v>
      </c>
      <c r="G72" t="e">
        <f>VLOOKUP(A72,'ALL Projects'!$A$2:$E$513,2,0)</f>
        <v>#N/A</v>
      </c>
    </row>
    <row r="73" spans="1:7">
      <c r="A73" s="15">
        <v>221000755</v>
      </c>
      <c r="B73" s="15" t="s">
        <v>1282</v>
      </c>
      <c r="C73" s="15" t="s">
        <v>1283</v>
      </c>
      <c r="D73" s="15" t="s">
        <v>1281</v>
      </c>
      <c r="E73" s="15" t="s">
        <v>1916</v>
      </c>
      <c r="F73" s="15" t="s">
        <v>1874</v>
      </c>
      <c r="G73" t="e">
        <f>VLOOKUP(A73,'ALL Projects'!$A$2:$E$513,2,0)</f>
        <v>#N/A</v>
      </c>
    </row>
    <row r="74" spans="1:7">
      <c r="A74" s="15">
        <v>221001633</v>
      </c>
      <c r="B74" s="15" t="s">
        <v>1336</v>
      </c>
      <c r="C74" s="15" t="s">
        <v>1337</v>
      </c>
      <c r="D74" s="15" t="s">
        <v>1281</v>
      </c>
      <c r="E74" s="15" t="s">
        <v>1916</v>
      </c>
      <c r="F74" s="15" t="s">
        <v>1874</v>
      </c>
      <c r="G74" t="e">
        <f>VLOOKUP(A74,'ALL Projects'!$A$2:$E$513,2,0)</f>
        <v>#N/A</v>
      </c>
    </row>
    <row r="75" spans="1:7">
      <c r="A75" s="15">
        <v>221001128</v>
      </c>
      <c r="B75" s="15" t="s">
        <v>1322</v>
      </c>
      <c r="C75" s="15" t="s">
        <v>1323</v>
      </c>
      <c r="D75" s="15" t="s">
        <v>1281</v>
      </c>
      <c r="E75" s="15" t="s">
        <v>1916</v>
      </c>
      <c r="F75" s="15" t="s">
        <v>1874</v>
      </c>
      <c r="G75" t="e">
        <f>VLOOKUP(A75,'ALL Projects'!$A$2:$E$513,2,0)</f>
        <v>#N/A</v>
      </c>
    </row>
    <row r="76" spans="1:7">
      <c r="A76" s="15">
        <v>221002111</v>
      </c>
      <c r="B76" s="15" t="s">
        <v>1306</v>
      </c>
      <c r="C76" s="15" t="s">
        <v>1307</v>
      </c>
      <c r="D76" s="15" t="s">
        <v>1281</v>
      </c>
      <c r="E76" s="15" t="s">
        <v>1916</v>
      </c>
      <c r="F76" s="15" t="s">
        <v>1874</v>
      </c>
      <c r="G76" t="e">
        <f>VLOOKUP(A76,'ALL Projects'!$A$2:$E$513,2,0)</f>
        <v>#N/A</v>
      </c>
    </row>
    <row r="77" spans="1:7">
      <c r="A77" s="15">
        <v>221001947</v>
      </c>
      <c r="B77" s="15" t="s">
        <v>1920</v>
      </c>
      <c r="C77" s="15" t="s">
        <v>1331</v>
      </c>
      <c r="D77" s="15" t="s">
        <v>1281</v>
      </c>
      <c r="E77" s="15" t="s">
        <v>1916</v>
      </c>
      <c r="F77" s="15" t="s">
        <v>1874</v>
      </c>
      <c r="G77" t="e">
        <f>VLOOKUP(A77,'ALL Projects'!$A$2:$E$513,2,0)</f>
        <v>#N/A</v>
      </c>
    </row>
    <row r="78" spans="1:7">
      <c r="A78" s="15">
        <v>221001213</v>
      </c>
      <c r="B78" s="15" t="s">
        <v>1921</v>
      </c>
      <c r="C78" s="15" t="s">
        <v>1327</v>
      </c>
      <c r="D78" s="15" t="s">
        <v>1281</v>
      </c>
      <c r="E78" s="15" t="s">
        <v>1916</v>
      </c>
      <c r="F78" s="15" t="s">
        <v>1874</v>
      </c>
      <c r="G78" t="e">
        <f>VLOOKUP(A78,'ALL Projects'!$A$2:$E$513,2,0)</f>
        <v>#N/A</v>
      </c>
    </row>
    <row r="79" spans="1:7">
      <c r="A79" s="15">
        <v>221000961</v>
      </c>
      <c r="B79" s="15" t="s">
        <v>1292</v>
      </c>
      <c r="C79" s="15" t="s">
        <v>1293</v>
      </c>
      <c r="D79" s="15" t="s">
        <v>1281</v>
      </c>
      <c r="E79" s="15" t="s">
        <v>1916</v>
      </c>
      <c r="F79" s="15" t="s">
        <v>1874</v>
      </c>
      <c r="G79" t="e">
        <f>VLOOKUP(A79,'ALL Projects'!$A$2:$E$513,2,0)</f>
        <v>#N/A</v>
      </c>
    </row>
    <row r="80" spans="1:7">
      <c r="A80" s="15">
        <v>221000746</v>
      </c>
      <c r="B80" s="15" t="s">
        <v>1290</v>
      </c>
      <c r="C80" s="15" t="s">
        <v>1291</v>
      </c>
      <c r="D80" s="15" t="s">
        <v>1281</v>
      </c>
      <c r="E80" s="15" t="s">
        <v>1916</v>
      </c>
      <c r="F80" s="15" t="s">
        <v>1874</v>
      </c>
      <c r="G80" t="e">
        <f>VLOOKUP(A80,'ALL Projects'!$A$2:$E$513,2,0)</f>
        <v>#N/A</v>
      </c>
    </row>
    <row r="81" spans="1:7">
      <c r="A81" s="15">
        <v>221001630</v>
      </c>
      <c r="B81" s="15" t="s">
        <v>1316</v>
      </c>
      <c r="C81" s="15" t="s">
        <v>1317</v>
      </c>
      <c r="D81" s="15" t="s">
        <v>1281</v>
      </c>
      <c r="E81" s="15" t="s">
        <v>1916</v>
      </c>
      <c r="F81" s="15" t="s">
        <v>1874</v>
      </c>
      <c r="G81" t="e">
        <f>VLOOKUP(A81,'ALL Projects'!$A$2:$E$513,2,0)</f>
        <v>#N/A</v>
      </c>
    </row>
    <row r="82" spans="1:7">
      <c r="A82" s="15">
        <v>221001688</v>
      </c>
      <c r="B82" s="15" t="s">
        <v>1922</v>
      </c>
      <c r="C82" s="15" t="s">
        <v>1321</v>
      </c>
      <c r="D82" s="15" t="s">
        <v>1281</v>
      </c>
      <c r="E82" s="15" t="s">
        <v>1916</v>
      </c>
      <c r="F82" s="15" t="s">
        <v>1874</v>
      </c>
      <c r="G82" t="e">
        <f>VLOOKUP(A82,'ALL Projects'!$A$2:$E$513,2,0)</f>
        <v>#N/A</v>
      </c>
    </row>
    <row r="83" spans="1:7">
      <c r="A83" s="15">
        <v>202001870</v>
      </c>
      <c r="B83" s="15" t="s">
        <v>1923</v>
      </c>
      <c r="C83" s="15" t="s">
        <v>1345</v>
      </c>
      <c r="D83" s="15" t="s">
        <v>1281</v>
      </c>
      <c r="E83" s="15" t="s">
        <v>1916</v>
      </c>
      <c r="F83" s="15" t="s">
        <v>1874</v>
      </c>
      <c r="G83" t="e">
        <f>VLOOKUP(A83,'ALL Projects'!$A$2:$E$513,2,0)</f>
        <v>#N/A</v>
      </c>
    </row>
    <row r="84" spans="1:7">
      <c r="A84" s="15">
        <v>221001465</v>
      </c>
      <c r="B84" s="15" t="s">
        <v>1294</v>
      </c>
      <c r="C84" s="15" t="s">
        <v>1295</v>
      </c>
      <c r="D84" s="15" t="s">
        <v>1281</v>
      </c>
      <c r="E84" s="15" t="s">
        <v>1916</v>
      </c>
      <c r="F84" s="15" t="s">
        <v>1874</v>
      </c>
      <c r="G84" t="e">
        <f>VLOOKUP(A84,'ALL Projects'!$A$2:$E$513,2,0)</f>
        <v>#N/A</v>
      </c>
    </row>
    <row r="85" spans="1:7">
      <c r="A85" s="15">
        <v>221001618</v>
      </c>
      <c r="B85" s="15" t="s">
        <v>1314</v>
      </c>
      <c r="C85" s="15" t="s">
        <v>1315</v>
      </c>
      <c r="D85" s="15" t="s">
        <v>1281</v>
      </c>
      <c r="E85" s="15" t="s">
        <v>1916</v>
      </c>
      <c r="F85" s="15" t="s">
        <v>1874</v>
      </c>
      <c r="G85" t="e">
        <f>VLOOKUP(A85,'ALL Projects'!$A$2:$E$513,2,0)</f>
        <v>#N/A</v>
      </c>
    </row>
    <row r="86" spans="1:7">
      <c r="A86" s="15">
        <v>221000697</v>
      </c>
      <c r="B86" s="15" t="s">
        <v>1924</v>
      </c>
      <c r="C86" s="15" t="s">
        <v>1309</v>
      </c>
      <c r="D86" s="15" t="s">
        <v>1281</v>
      </c>
      <c r="E86" s="15" t="s">
        <v>1916</v>
      </c>
      <c r="F86" s="15" t="s">
        <v>1874</v>
      </c>
      <c r="G86" t="e">
        <f>VLOOKUP(A86,'ALL Projects'!$A$2:$E$513,2,0)</f>
        <v>#N/A</v>
      </c>
    </row>
    <row r="87" spans="1:7">
      <c r="A87" s="15">
        <v>202000096</v>
      </c>
      <c r="B87" s="15" t="s">
        <v>1925</v>
      </c>
      <c r="C87" s="15" t="s">
        <v>1285</v>
      </c>
      <c r="D87" s="15" t="s">
        <v>1281</v>
      </c>
      <c r="E87" s="15" t="s">
        <v>1916</v>
      </c>
      <c r="F87" s="15" t="s">
        <v>1874</v>
      </c>
      <c r="G87" t="e">
        <f>VLOOKUP(A87,'ALL Projects'!$A$2:$E$513,2,0)</f>
        <v>#N/A</v>
      </c>
    </row>
    <row r="88" spans="1:7">
      <c r="A88" s="15">
        <v>211001973</v>
      </c>
      <c r="B88" s="15" t="s">
        <v>1340</v>
      </c>
      <c r="C88" s="15" t="s">
        <v>1341</v>
      </c>
      <c r="D88" s="15" t="s">
        <v>1281</v>
      </c>
      <c r="E88" s="15" t="s">
        <v>1916</v>
      </c>
      <c r="F88" s="15" t="s">
        <v>1874</v>
      </c>
      <c r="G88" t="e">
        <f>VLOOKUP(A88,'ALL Projects'!$A$2:$E$513,2,0)</f>
        <v>#N/A</v>
      </c>
    </row>
    <row r="89" spans="1:7">
      <c r="A89" s="15">
        <v>221001665</v>
      </c>
      <c r="B89" s="15" t="s">
        <v>1302</v>
      </c>
      <c r="C89" s="15" t="s">
        <v>1303</v>
      </c>
      <c r="D89" s="15" t="s">
        <v>1281</v>
      </c>
      <c r="E89" s="15" t="s">
        <v>1916</v>
      </c>
      <c r="F89" s="15" t="s">
        <v>1874</v>
      </c>
      <c r="G89" t="e">
        <f>VLOOKUP(A89,'ALL Projects'!$A$2:$E$513,2,0)</f>
        <v>#N/A</v>
      </c>
    </row>
    <row r="90" spans="1:7">
      <c r="A90" s="15">
        <v>221001547</v>
      </c>
      <c r="B90" s="15" t="s">
        <v>1298</v>
      </c>
      <c r="C90" s="15" t="s">
        <v>1299</v>
      </c>
      <c r="D90" s="15" t="s">
        <v>1281</v>
      </c>
      <c r="E90" s="15" t="s">
        <v>1916</v>
      </c>
      <c r="F90" s="15" t="s">
        <v>1874</v>
      </c>
      <c r="G90" t="e">
        <f>VLOOKUP(A90,'ALL Projects'!$A$2:$E$513,2,0)</f>
        <v>#N/A</v>
      </c>
    </row>
    <row r="91" spans="1:7">
      <c r="A91" s="15">
        <v>221001682</v>
      </c>
      <c r="B91" s="15" t="s">
        <v>1318</v>
      </c>
      <c r="C91" s="15" t="s">
        <v>1319</v>
      </c>
      <c r="D91" s="15" t="s">
        <v>1281</v>
      </c>
      <c r="E91" s="15" t="s">
        <v>1916</v>
      </c>
      <c r="F91" s="15" t="s">
        <v>1874</v>
      </c>
      <c r="G91" t="e">
        <f>VLOOKUP(A91,'ALL Projects'!$A$2:$E$513,2,0)</f>
        <v>#N/A</v>
      </c>
    </row>
    <row r="92" spans="1:7">
      <c r="A92" s="17">
        <v>202001802</v>
      </c>
      <c r="B92" s="17" t="s">
        <v>1926</v>
      </c>
      <c r="C92" s="18" t="s">
        <v>1927</v>
      </c>
      <c r="D92" s="17" t="s">
        <v>1281</v>
      </c>
      <c r="E92" s="17" t="s">
        <v>1928</v>
      </c>
      <c r="F92" s="17" t="s">
        <v>1874</v>
      </c>
      <c r="G92" t="e">
        <f>VLOOKUP(A92,'ALL Projects'!$A$2:$E$513,2,0)</f>
        <v>#N/A</v>
      </c>
    </row>
    <row r="93" spans="1:7">
      <c r="A93" s="16">
        <v>211000096</v>
      </c>
      <c r="B93" s="16" t="s">
        <v>1711</v>
      </c>
      <c r="C93" s="16" t="s">
        <v>1712</v>
      </c>
      <c r="D93" s="15" t="s">
        <v>1348</v>
      </c>
      <c r="E93" s="15" t="s">
        <v>1929</v>
      </c>
      <c r="F93" s="15" t="s">
        <v>1874</v>
      </c>
      <c r="G93" t="e">
        <f>VLOOKUP(A93,'ALL Projects'!$A$2:$E$513,2,0)</f>
        <v>#N/A</v>
      </c>
    </row>
    <row r="94" spans="1:7">
      <c r="A94" s="16">
        <v>221001636</v>
      </c>
      <c r="B94" s="16" t="s">
        <v>1353</v>
      </c>
      <c r="C94" s="16" t="s">
        <v>1354</v>
      </c>
      <c r="D94" s="15" t="s">
        <v>1348</v>
      </c>
      <c r="E94" s="15" t="s">
        <v>1929</v>
      </c>
      <c r="F94" s="15" t="s">
        <v>1874</v>
      </c>
      <c r="G94" t="e">
        <f>VLOOKUP(A94,'ALL Projects'!$A$2:$E$513,2,0)</f>
        <v>#N/A</v>
      </c>
    </row>
    <row r="95" spans="1:7">
      <c r="A95" s="16">
        <v>221001857</v>
      </c>
      <c r="B95" s="16" t="s">
        <v>1786</v>
      </c>
      <c r="C95" s="16" t="s">
        <v>1787</v>
      </c>
      <c r="D95" s="15" t="s">
        <v>1348</v>
      </c>
      <c r="E95" s="15" t="s">
        <v>1929</v>
      </c>
      <c r="F95" s="15" t="s">
        <v>1874</v>
      </c>
      <c r="G95" t="e">
        <f>VLOOKUP(A95,'ALL Projects'!$A$2:$E$513,2,0)</f>
        <v>#N/A</v>
      </c>
    </row>
    <row r="96" spans="1:7">
      <c r="A96" s="16">
        <v>231001561</v>
      </c>
      <c r="B96" s="16" t="s">
        <v>1782</v>
      </c>
      <c r="C96" s="16" t="s">
        <v>1783</v>
      </c>
      <c r="D96" s="15" t="s">
        <v>1348</v>
      </c>
      <c r="E96" s="15" t="s">
        <v>1929</v>
      </c>
      <c r="F96" s="15" t="s">
        <v>1874</v>
      </c>
      <c r="G96" t="e">
        <f>VLOOKUP(A96,'ALL Projects'!$A$2:$E$513,2,0)</f>
        <v>#N/A</v>
      </c>
    </row>
    <row r="97" spans="1:7">
      <c r="A97" s="16">
        <v>221001781</v>
      </c>
      <c r="B97" s="16" t="s">
        <v>1930</v>
      </c>
      <c r="C97" s="16" t="s">
        <v>1931</v>
      </c>
      <c r="D97" s="15" t="s">
        <v>1348</v>
      </c>
      <c r="E97" s="15" t="s">
        <v>1929</v>
      </c>
      <c r="F97" s="15" t="s">
        <v>1874</v>
      </c>
      <c r="G97" t="e">
        <f>VLOOKUP(A97,'ALL Projects'!$A$2:$E$513,2,0)</f>
        <v>#N/A</v>
      </c>
    </row>
    <row r="98" spans="1:7">
      <c r="A98" s="16">
        <v>221001964</v>
      </c>
      <c r="B98" s="16" t="s">
        <v>1725</v>
      </c>
      <c r="C98" s="16" t="s">
        <v>1726</v>
      </c>
      <c r="D98" s="15" t="s">
        <v>1348</v>
      </c>
      <c r="E98" s="15" t="s">
        <v>1929</v>
      </c>
      <c r="F98" s="15" t="s">
        <v>1874</v>
      </c>
      <c r="G98" t="e">
        <f>VLOOKUP(A98,'ALL Projects'!$A$2:$E$513,2,0)</f>
        <v>#N/A</v>
      </c>
    </row>
    <row r="99" spans="1:7">
      <c r="A99" s="16">
        <v>221001799</v>
      </c>
      <c r="B99" s="16" t="s">
        <v>1669</v>
      </c>
      <c r="C99" s="16" t="s">
        <v>1670</v>
      </c>
      <c r="D99" s="15" t="s">
        <v>1348</v>
      </c>
      <c r="E99" s="15" t="s">
        <v>1929</v>
      </c>
      <c r="F99" s="15" t="s">
        <v>1874</v>
      </c>
      <c r="G99" t="e">
        <f>VLOOKUP(A99,'ALL Projects'!$A$2:$E$513,2,0)</f>
        <v>#N/A</v>
      </c>
    </row>
    <row r="100" spans="1:7">
      <c r="A100" s="16">
        <v>221001024</v>
      </c>
      <c r="B100" s="16" t="s">
        <v>1439</v>
      </c>
      <c r="C100" s="16" t="s">
        <v>1440</v>
      </c>
      <c r="D100" s="15" t="s">
        <v>1348</v>
      </c>
      <c r="E100" s="15" t="s">
        <v>1929</v>
      </c>
      <c r="F100" s="15" t="s">
        <v>1874</v>
      </c>
      <c r="G100" t="e">
        <f>VLOOKUP(A100,'ALL Projects'!$A$2:$E$513,2,0)</f>
        <v>#N/A</v>
      </c>
    </row>
    <row r="101" spans="1:7">
      <c r="A101" s="16">
        <v>221001155</v>
      </c>
      <c r="B101" s="16" t="s">
        <v>1543</v>
      </c>
      <c r="C101" s="16" t="s">
        <v>1544</v>
      </c>
      <c r="D101" s="15" t="s">
        <v>1348</v>
      </c>
      <c r="E101" s="15" t="s">
        <v>1929</v>
      </c>
      <c r="F101" s="15" t="s">
        <v>1874</v>
      </c>
      <c r="G101" t="e">
        <f>VLOOKUP(A101,'ALL Projects'!$A$2:$E$513,2,0)</f>
        <v>#N/A</v>
      </c>
    </row>
    <row r="102" spans="1:7">
      <c r="A102" s="16">
        <v>221000915</v>
      </c>
      <c r="B102" s="16" t="s">
        <v>1433</v>
      </c>
      <c r="C102" s="16" t="s">
        <v>1434</v>
      </c>
      <c r="D102" s="15" t="s">
        <v>1348</v>
      </c>
      <c r="E102" s="15" t="s">
        <v>1929</v>
      </c>
      <c r="F102" s="15" t="s">
        <v>1874</v>
      </c>
      <c r="G102" t="e">
        <f>VLOOKUP(A102,'ALL Projects'!$A$2:$E$513,2,0)</f>
        <v>#N/A</v>
      </c>
    </row>
    <row r="103" spans="1:7">
      <c r="A103" s="16">
        <v>221001443</v>
      </c>
      <c r="B103" s="16" t="s">
        <v>1449</v>
      </c>
      <c r="C103" s="16" t="s">
        <v>1450</v>
      </c>
      <c r="D103" s="15" t="s">
        <v>1348</v>
      </c>
      <c r="E103" s="15" t="s">
        <v>1929</v>
      </c>
      <c r="F103" s="15" t="s">
        <v>1874</v>
      </c>
      <c r="G103" t="e">
        <f>VLOOKUP(A103,'ALL Projects'!$A$2:$E$513,2,0)</f>
        <v>#N/A</v>
      </c>
    </row>
    <row r="104" spans="1:7">
      <c r="A104" s="16">
        <v>221001656</v>
      </c>
      <c r="B104" s="16" t="s">
        <v>1559</v>
      </c>
      <c r="C104" s="16" t="s">
        <v>1560</v>
      </c>
      <c r="D104" s="15" t="s">
        <v>1348</v>
      </c>
      <c r="E104" s="15" t="s">
        <v>1929</v>
      </c>
      <c r="F104" s="15" t="s">
        <v>1874</v>
      </c>
      <c r="G104" t="e">
        <f>VLOOKUP(A104,'ALL Projects'!$A$2:$E$513,2,0)</f>
        <v>#N/A</v>
      </c>
    </row>
    <row r="105" spans="1:7">
      <c r="A105" s="16">
        <v>221000895</v>
      </c>
      <c r="B105" s="16" t="s">
        <v>1597</v>
      </c>
      <c r="C105" s="16" t="s">
        <v>1598</v>
      </c>
      <c r="D105" s="15" t="s">
        <v>1348</v>
      </c>
      <c r="E105" s="15" t="s">
        <v>1929</v>
      </c>
      <c r="F105" s="15" t="s">
        <v>1874</v>
      </c>
      <c r="G105" t="e">
        <f>VLOOKUP(A105,'ALL Projects'!$A$2:$E$513,2,0)</f>
        <v>#N/A</v>
      </c>
    </row>
    <row r="106" spans="1:7">
      <c r="A106" s="16">
        <v>221001008</v>
      </c>
      <c r="B106" s="16" t="s">
        <v>1383</v>
      </c>
      <c r="C106" s="16" t="s">
        <v>1384</v>
      </c>
      <c r="D106" s="15" t="s">
        <v>1348</v>
      </c>
      <c r="E106" s="15" t="s">
        <v>1929</v>
      </c>
      <c r="F106" s="15" t="s">
        <v>1874</v>
      </c>
      <c r="G106" t="e">
        <f>VLOOKUP(A106,'ALL Projects'!$A$2:$E$513,2,0)</f>
        <v>#N/A</v>
      </c>
    </row>
    <row r="107" spans="1:7">
      <c r="A107" s="16">
        <v>221001700</v>
      </c>
      <c r="B107" s="16" t="s">
        <v>1852</v>
      </c>
      <c r="C107" s="16" t="s">
        <v>1853</v>
      </c>
      <c r="D107" s="15" t="s">
        <v>1348</v>
      </c>
      <c r="E107" s="15" t="s">
        <v>1929</v>
      </c>
      <c r="F107" s="15" t="s">
        <v>1874</v>
      </c>
      <c r="G107" t="e">
        <f>VLOOKUP(A107,'ALL Projects'!$A$2:$E$513,2,0)</f>
        <v>#N/A</v>
      </c>
    </row>
    <row r="108" spans="1:7">
      <c r="A108" s="16">
        <v>221000322</v>
      </c>
      <c r="B108" s="16" t="s">
        <v>1371</v>
      </c>
      <c r="C108" s="16" t="s">
        <v>1372</v>
      </c>
      <c r="D108" s="15" t="s">
        <v>1348</v>
      </c>
      <c r="E108" s="15" t="s">
        <v>1929</v>
      </c>
      <c r="F108" s="15" t="s">
        <v>1874</v>
      </c>
      <c r="G108" t="e">
        <f>VLOOKUP(A108,'ALL Projects'!$A$2:$E$513,2,0)</f>
        <v>#N/A</v>
      </c>
    </row>
    <row r="109" spans="1:7">
      <c r="A109" s="16">
        <v>221001652</v>
      </c>
      <c r="B109" s="16" t="s">
        <v>1557</v>
      </c>
      <c r="C109" s="16" t="s">
        <v>1558</v>
      </c>
      <c r="D109" s="15" t="s">
        <v>1348</v>
      </c>
      <c r="E109" s="15" t="s">
        <v>1929</v>
      </c>
      <c r="F109" s="15" t="s">
        <v>1874</v>
      </c>
      <c r="G109" t="e">
        <f>VLOOKUP(A109,'ALL Projects'!$A$2:$E$513,2,0)</f>
        <v>#N/A</v>
      </c>
    </row>
    <row r="110" spans="1:7">
      <c r="A110" s="16">
        <v>221001783</v>
      </c>
      <c r="B110" s="16" t="s">
        <v>1774</v>
      </c>
      <c r="C110" s="16" t="s">
        <v>1775</v>
      </c>
      <c r="D110" s="15" t="s">
        <v>1348</v>
      </c>
      <c r="E110" s="15" t="s">
        <v>1929</v>
      </c>
      <c r="F110" s="15" t="s">
        <v>1874</v>
      </c>
      <c r="G110" t="e">
        <f>VLOOKUP(A110,'ALL Projects'!$A$2:$E$513,2,0)</f>
        <v>#N/A</v>
      </c>
    </row>
    <row r="111" spans="1:7">
      <c r="A111" s="16">
        <v>221001423</v>
      </c>
      <c r="B111" s="16" t="s">
        <v>1657</v>
      </c>
      <c r="C111" s="16" t="s">
        <v>1658</v>
      </c>
      <c r="D111" s="15" t="s">
        <v>1348</v>
      </c>
      <c r="E111" s="15" t="s">
        <v>1929</v>
      </c>
      <c r="F111" s="15" t="s">
        <v>1874</v>
      </c>
      <c r="G111" t="e">
        <f>VLOOKUP(A111,'ALL Projects'!$A$2:$E$513,2,0)</f>
        <v>#N/A</v>
      </c>
    </row>
    <row r="112" spans="1:7">
      <c r="A112" s="16">
        <v>221001690</v>
      </c>
      <c r="B112" s="16" t="s">
        <v>1846</v>
      </c>
      <c r="C112" s="16" t="s">
        <v>1847</v>
      </c>
      <c r="D112" s="15" t="s">
        <v>1348</v>
      </c>
      <c r="E112" s="15" t="s">
        <v>1929</v>
      </c>
      <c r="F112" s="15" t="s">
        <v>1874</v>
      </c>
      <c r="G112" t="e">
        <f>VLOOKUP(A112,'ALL Projects'!$A$2:$E$513,2,0)</f>
        <v>#N/A</v>
      </c>
    </row>
    <row r="113" spans="1:7">
      <c r="A113" s="16">
        <v>221001540</v>
      </c>
      <c r="B113" s="16" t="s">
        <v>1659</v>
      </c>
      <c r="C113" s="16" t="s">
        <v>1660</v>
      </c>
      <c r="D113" s="15" t="s">
        <v>1348</v>
      </c>
      <c r="E113" s="15" t="s">
        <v>1929</v>
      </c>
      <c r="F113" s="15" t="s">
        <v>1874</v>
      </c>
      <c r="G113" t="e">
        <f>VLOOKUP(A113,'ALL Projects'!$A$2:$E$513,2,0)</f>
        <v>#N/A</v>
      </c>
    </row>
    <row r="114" spans="1:7">
      <c r="A114" s="16">
        <v>221001359</v>
      </c>
      <c r="B114" s="16" t="s">
        <v>1625</v>
      </c>
      <c r="C114" s="16" t="s">
        <v>1626</v>
      </c>
      <c r="D114" s="15" t="s">
        <v>1348</v>
      </c>
      <c r="E114" s="15" t="s">
        <v>1929</v>
      </c>
      <c r="F114" s="15" t="s">
        <v>1874</v>
      </c>
      <c r="G114" t="e">
        <f>VLOOKUP(A114,'ALL Projects'!$A$2:$E$513,2,0)</f>
        <v>#N/A</v>
      </c>
    </row>
    <row r="115" spans="1:7">
      <c r="A115" s="16">
        <v>221001911</v>
      </c>
      <c r="B115" s="16" t="s">
        <v>1485</v>
      </c>
      <c r="C115" s="16" t="s">
        <v>1486</v>
      </c>
      <c r="D115" s="15" t="s">
        <v>1348</v>
      </c>
      <c r="E115" s="15" t="s">
        <v>1929</v>
      </c>
      <c r="F115" s="15" t="s">
        <v>1874</v>
      </c>
      <c r="G115" t="e">
        <f>VLOOKUP(A115,'ALL Projects'!$A$2:$E$513,2,0)</f>
        <v>#N/A</v>
      </c>
    </row>
    <row r="116" spans="1:7">
      <c r="A116" s="16">
        <v>211000449</v>
      </c>
      <c r="B116" s="16" t="s">
        <v>1932</v>
      </c>
      <c r="C116" s="16" t="s">
        <v>1933</v>
      </c>
      <c r="D116" s="15" t="s">
        <v>1348</v>
      </c>
      <c r="E116" s="15" t="s">
        <v>1929</v>
      </c>
      <c r="F116" s="15" t="s">
        <v>1874</v>
      </c>
      <c r="G116" t="e">
        <f>VLOOKUP(A116,'ALL Projects'!$A$2:$E$513,2,0)</f>
        <v>#N/A</v>
      </c>
    </row>
    <row r="117" spans="1:7">
      <c r="A117" s="16">
        <v>211002026</v>
      </c>
      <c r="B117" s="16" t="s">
        <v>1365</v>
      </c>
      <c r="C117" s="16" t="s">
        <v>1366</v>
      </c>
      <c r="D117" s="15" t="s">
        <v>1348</v>
      </c>
      <c r="E117" s="15" t="s">
        <v>1929</v>
      </c>
      <c r="F117" s="15" t="s">
        <v>1874</v>
      </c>
      <c r="G117" t="e">
        <f>VLOOKUP(A117,'ALL Projects'!$A$2:$E$513,2,0)</f>
        <v>#N/A</v>
      </c>
    </row>
    <row r="118" spans="1:7">
      <c r="A118" s="16">
        <v>202001407</v>
      </c>
      <c r="B118" s="16" t="s">
        <v>1838</v>
      </c>
      <c r="C118" s="16" t="s">
        <v>1839</v>
      </c>
      <c r="D118" s="15" t="s">
        <v>1348</v>
      </c>
      <c r="E118" s="15" t="s">
        <v>1929</v>
      </c>
      <c r="F118" s="15" t="s">
        <v>1874</v>
      </c>
      <c r="G118" t="e">
        <f>VLOOKUP(A118,'ALL Projects'!$A$2:$E$513,2,0)</f>
        <v>#N/A</v>
      </c>
    </row>
    <row r="119" spans="1:7">
      <c r="A119" s="16">
        <v>222000066</v>
      </c>
      <c r="B119" s="16" t="s">
        <v>1776</v>
      </c>
      <c r="C119" s="16" t="s">
        <v>1777</v>
      </c>
      <c r="D119" s="15" t="s">
        <v>1348</v>
      </c>
      <c r="E119" s="15" t="s">
        <v>1929</v>
      </c>
      <c r="F119" s="15" t="s">
        <v>1874</v>
      </c>
      <c r="G119" t="e">
        <f>VLOOKUP(A119,'ALL Projects'!$A$2:$E$513,2,0)</f>
        <v>#N/A</v>
      </c>
    </row>
    <row r="120" spans="1:7">
      <c r="A120" s="16">
        <v>202002544</v>
      </c>
      <c r="B120" s="16" t="s">
        <v>1709</v>
      </c>
      <c r="C120" s="16" t="s">
        <v>1710</v>
      </c>
      <c r="D120" s="15" t="s">
        <v>1348</v>
      </c>
      <c r="E120" s="15" t="s">
        <v>1929</v>
      </c>
      <c r="F120" s="15" t="s">
        <v>1874</v>
      </c>
      <c r="G120" t="e">
        <f>VLOOKUP(A120,'ALL Projects'!$A$2:$E$513,2,0)</f>
        <v>#N/A</v>
      </c>
    </row>
    <row r="121" spans="1:7">
      <c r="A121" s="16">
        <v>221001843</v>
      </c>
      <c r="B121" s="16" t="s">
        <v>1696</v>
      </c>
      <c r="C121" s="16" t="s">
        <v>1697</v>
      </c>
      <c r="D121" s="15" t="s">
        <v>1348</v>
      </c>
      <c r="E121" s="15" t="s">
        <v>1929</v>
      </c>
      <c r="F121" s="15" t="s">
        <v>1874</v>
      </c>
      <c r="G121" t="e">
        <f>VLOOKUP(A121,'ALL Projects'!$A$2:$E$513,2,0)</f>
        <v>#N/A</v>
      </c>
    </row>
    <row r="122" spans="1:7">
      <c r="A122" s="16">
        <v>202002082</v>
      </c>
      <c r="B122" s="16" t="s">
        <v>1707</v>
      </c>
      <c r="C122" s="16" t="s">
        <v>1708</v>
      </c>
      <c r="D122" s="15" t="s">
        <v>1348</v>
      </c>
      <c r="E122" s="15" t="s">
        <v>1929</v>
      </c>
      <c r="F122" s="15" t="s">
        <v>1874</v>
      </c>
      <c r="G122" t="e">
        <f>VLOOKUP(A122,'ALL Projects'!$A$2:$E$513,2,0)</f>
        <v>#N/A</v>
      </c>
    </row>
    <row r="123" spans="1:7">
      <c r="A123" s="16">
        <v>221000635</v>
      </c>
      <c r="B123" s="16" t="s">
        <v>1615</v>
      </c>
      <c r="C123" s="16" t="s">
        <v>1616</v>
      </c>
      <c r="D123" s="15" t="s">
        <v>1348</v>
      </c>
      <c r="E123" s="15" t="s">
        <v>1929</v>
      </c>
      <c r="F123" s="15" t="s">
        <v>1874</v>
      </c>
      <c r="G123" t="e">
        <f>VLOOKUP(A123,'ALL Projects'!$A$2:$E$513,2,0)</f>
        <v>#N/A</v>
      </c>
    </row>
    <row r="124" spans="1:7">
      <c r="A124" s="16">
        <v>221001785</v>
      </c>
      <c r="B124" s="16" t="s">
        <v>1752</v>
      </c>
      <c r="C124" s="16" t="s">
        <v>1753</v>
      </c>
      <c r="D124" s="15" t="s">
        <v>1348</v>
      </c>
      <c r="E124" s="15" t="s">
        <v>1929</v>
      </c>
      <c r="F124" s="15" t="s">
        <v>1874</v>
      </c>
      <c r="G124" t="e">
        <f>VLOOKUP(A124,'ALL Projects'!$A$2:$E$513,2,0)</f>
        <v>#N/A</v>
      </c>
    </row>
    <row r="125" spans="1:7">
      <c r="A125" s="16">
        <v>221000739</v>
      </c>
      <c r="B125" s="16" t="s">
        <v>1715</v>
      </c>
      <c r="C125" s="16" t="s">
        <v>1716</v>
      </c>
      <c r="D125" s="15" t="s">
        <v>1348</v>
      </c>
      <c r="E125" s="15" t="s">
        <v>1929</v>
      </c>
      <c r="F125" s="15" t="s">
        <v>1874</v>
      </c>
      <c r="G125" t="e">
        <f>VLOOKUP(A125,'ALL Projects'!$A$2:$E$513,2,0)</f>
        <v>#N/A</v>
      </c>
    </row>
    <row r="126" spans="1:7">
      <c r="A126" s="16">
        <v>221001824</v>
      </c>
      <c r="B126" s="16" t="s">
        <v>1740</v>
      </c>
      <c r="C126" s="16" t="s">
        <v>1741</v>
      </c>
      <c r="D126" s="15" t="s">
        <v>1348</v>
      </c>
      <c r="E126" s="15" t="s">
        <v>1929</v>
      </c>
      <c r="F126" s="15" t="s">
        <v>1874</v>
      </c>
      <c r="G126" t="e">
        <f>VLOOKUP(A126,'ALL Projects'!$A$2:$E$513,2,0)</f>
        <v>#N/A</v>
      </c>
    </row>
    <row r="127" spans="1:7">
      <c r="A127" s="16">
        <v>221000093</v>
      </c>
      <c r="B127" s="16" t="s">
        <v>1611</v>
      </c>
      <c r="C127" s="16" t="s">
        <v>1612</v>
      </c>
      <c r="D127" s="15" t="s">
        <v>1348</v>
      </c>
      <c r="E127" s="15" t="s">
        <v>1929</v>
      </c>
      <c r="F127" s="15" t="s">
        <v>1874</v>
      </c>
      <c r="G127" t="e">
        <f>VLOOKUP(A127,'ALL Projects'!$A$2:$E$513,2,0)</f>
        <v>#N/A</v>
      </c>
    </row>
    <row r="128" spans="1:7">
      <c r="A128" s="16">
        <v>221001986</v>
      </c>
      <c r="B128" s="16" t="s">
        <v>1671</v>
      </c>
      <c r="C128" s="16" t="s">
        <v>1672</v>
      </c>
      <c r="D128" s="15" t="s">
        <v>1348</v>
      </c>
      <c r="E128" s="15" t="s">
        <v>1929</v>
      </c>
      <c r="F128" s="15" t="s">
        <v>1874</v>
      </c>
      <c r="G128" t="e">
        <f>VLOOKUP(A128,'ALL Projects'!$A$2:$E$513,2,0)</f>
        <v>#N/A</v>
      </c>
    </row>
    <row r="129" spans="1:7">
      <c r="A129" s="16">
        <v>221001127</v>
      </c>
      <c r="B129" s="16" t="s">
        <v>1792</v>
      </c>
      <c r="C129" s="16" t="s">
        <v>1793</v>
      </c>
      <c r="D129" s="15" t="s">
        <v>1348</v>
      </c>
      <c r="E129" s="15" t="s">
        <v>1929</v>
      </c>
      <c r="F129" s="15" t="s">
        <v>1874</v>
      </c>
      <c r="G129" t="e">
        <f>VLOOKUP(A129,'ALL Projects'!$A$2:$E$513,2,0)</f>
        <v>#N/A</v>
      </c>
    </row>
    <row r="130" spans="1:7">
      <c r="A130" s="16">
        <v>221001916</v>
      </c>
      <c r="B130" s="16" t="s">
        <v>1663</v>
      </c>
      <c r="C130" s="16" t="s">
        <v>1664</v>
      </c>
      <c r="D130" s="15" t="s">
        <v>1348</v>
      </c>
      <c r="E130" s="15" t="s">
        <v>1929</v>
      </c>
      <c r="F130" s="15" t="s">
        <v>1874</v>
      </c>
      <c r="G130" t="e">
        <f>VLOOKUP(A130,'ALL Projects'!$A$2:$E$513,2,0)</f>
        <v>#N/A</v>
      </c>
    </row>
    <row r="131" spans="1:7">
      <c r="A131" s="16">
        <v>221001877</v>
      </c>
      <c r="B131" s="16" t="s">
        <v>1479</v>
      </c>
      <c r="C131" s="16" t="s">
        <v>1480</v>
      </c>
      <c r="D131" s="15" t="s">
        <v>1348</v>
      </c>
      <c r="E131" s="15" t="s">
        <v>1929</v>
      </c>
      <c r="F131" s="15" t="s">
        <v>1874</v>
      </c>
      <c r="G131" t="e">
        <f>VLOOKUP(A131,'ALL Projects'!$A$2:$E$513,2,0)</f>
        <v>#N/A</v>
      </c>
    </row>
    <row r="132" spans="1:7">
      <c r="A132" s="16">
        <v>221000508</v>
      </c>
      <c r="B132" s="16" t="s">
        <v>1613</v>
      </c>
      <c r="C132" s="16" t="s">
        <v>1614</v>
      </c>
      <c r="D132" s="15" t="s">
        <v>1348</v>
      </c>
      <c r="E132" s="15" t="s">
        <v>1929</v>
      </c>
      <c r="F132" s="15" t="s">
        <v>1874</v>
      </c>
      <c r="G132" t="e">
        <f>VLOOKUP(A132,'ALL Projects'!$A$2:$E$513,2,0)</f>
        <v>#N/A</v>
      </c>
    </row>
    <row r="133" spans="1:7">
      <c r="A133" s="16">
        <v>221000295</v>
      </c>
      <c r="B133" s="16" t="s">
        <v>1525</v>
      </c>
      <c r="C133" s="16" t="s">
        <v>1526</v>
      </c>
      <c r="D133" s="15" t="s">
        <v>1348</v>
      </c>
      <c r="E133" s="15" t="s">
        <v>1929</v>
      </c>
      <c r="F133" s="15" t="s">
        <v>1874</v>
      </c>
      <c r="G133" t="e">
        <f>VLOOKUP(A133,'ALL Projects'!$A$2:$E$513,2,0)</f>
        <v>#N/A</v>
      </c>
    </row>
    <row r="134" spans="1:7">
      <c r="A134" s="16">
        <v>221002035</v>
      </c>
      <c r="B134" s="16" t="s">
        <v>1772</v>
      </c>
      <c r="C134" s="16" t="s">
        <v>1773</v>
      </c>
      <c r="D134" s="15" t="s">
        <v>1348</v>
      </c>
      <c r="E134" s="15" t="s">
        <v>1929</v>
      </c>
      <c r="F134" s="15" t="s">
        <v>1874</v>
      </c>
      <c r="G134" t="e">
        <f>VLOOKUP(A134,'ALL Projects'!$A$2:$E$513,2,0)</f>
        <v>#N/A</v>
      </c>
    </row>
    <row r="135" spans="1:7">
      <c r="A135" s="16">
        <v>221001994</v>
      </c>
      <c r="B135" s="16" t="s">
        <v>1511</v>
      </c>
      <c r="C135" s="16" t="s">
        <v>1512</v>
      </c>
      <c r="D135" s="15" t="s">
        <v>1348</v>
      </c>
      <c r="E135" s="15" t="s">
        <v>1929</v>
      </c>
      <c r="F135" s="15" t="s">
        <v>1874</v>
      </c>
      <c r="G135" t="e">
        <f>VLOOKUP(A135,'ALL Projects'!$A$2:$E$513,2,0)</f>
        <v>#N/A</v>
      </c>
    </row>
    <row r="136" spans="1:7">
      <c r="A136" s="16">
        <v>221002050</v>
      </c>
      <c r="B136" s="16" t="s">
        <v>1754</v>
      </c>
      <c r="C136" s="16" t="s">
        <v>1755</v>
      </c>
      <c r="D136" s="15" t="s">
        <v>1348</v>
      </c>
      <c r="E136" s="15" t="s">
        <v>1929</v>
      </c>
      <c r="F136" s="15" t="s">
        <v>1874</v>
      </c>
      <c r="G136" t="e">
        <f>VLOOKUP(A136,'ALL Projects'!$A$2:$E$513,2,0)</f>
        <v>#N/A</v>
      </c>
    </row>
    <row r="137" spans="1:7">
      <c r="A137" s="16">
        <v>221000968</v>
      </c>
      <c r="B137" s="16" t="s">
        <v>1748</v>
      </c>
      <c r="C137" s="16" t="s">
        <v>1749</v>
      </c>
      <c r="D137" s="15" t="s">
        <v>1348</v>
      </c>
      <c r="E137" s="15" t="s">
        <v>1929</v>
      </c>
      <c r="F137" s="15" t="s">
        <v>1874</v>
      </c>
      <c r="G137" t="e">
        <f>VLOOKUP(A137,'ALL Projects'!$A$2:$E$513,2,0)</f>
        <v>#N/A</v>
      </c>
    </row>
    <row r="138" spans="1:7">
      <c r="A138" s="16">
        <v>221000473</v>
      </c>
      <c r="B138" s="16" t="s">
        <v>1529</v>
      </c>
      <c r="C138" s="16" t="s">
        <v>1530</v>
      </c>
      <c r="D138" s="15" t="s">
        <v>1348</v>
      </c>
      <c r="E138" s="15" t="s">
        <v>1929</v>
      </c>
      <c r="F138" s="15" t="s">
        <v>1874</v>
      </c>
      <c r="G138" t="e">
        <f>VLOOKUP(A138,'ALL Projects'!$A$2:$E$513,2,0)</f>
        <v>#N/A</v>
      </c>
    </row>
    <row r="139" spans="1:7">
      <c r="A139" s="16">
        <v>221001819</v>
      </c>
      <c r="B139" s="16" t="s">
        <v>1473</v>
      </c>
      <c r="C139" s="16" t="s">
        <v>1474</v>
      </c>
      <c r="D139" s="15" t="s">
        <v>1348</v>
      </c>
      <c r="E139" s="15" t="s">
        <v>1929</v>
      </c>
      <c r="F139" s="15" t="s">
        <v>1874</v>
      </c>
      <c r="G139" t="e">
        <f>VLOOKUP(A139,'ALL Projects'!$A$2:$E$513,2,0)</f>
        <v>#N/A</v>
      </c>
    </row>
    <row r="140" spans="1:7">
      <c r="A140" s="16">
        <v>221002193</v>
      </c>
      <c r="B140" s="16" t="s">
        <v>1645</v>
      </c>
      <c r="C140" s="16" t="s">
        <v>1646</v>
      </c>
      <c r="D140" s="15" t="s">
        <v>1348</v>
      </c>
      <c r="E140" s="15" t="s">
        <v>1929</v>
      </c>
      <c r="F140" s="15" t="s">
        <v>1874</v>
      </c>
      <c r="G140" t="e">
        <f>VLOOKUP(A140,'ALL Projects'!$A$2:$E$513,2,0)</f>
        <v>#N/A</v>
      </c>
    </row>
    <row r="141" spans="1:7">
      <c r="A141" s="16">
        <v>221001371</v>
      </c>
      <c r="B141" s="16" t="s">
        <v>1547</v>
      </c>
      <c r="C141" s="16" t="s">
        <v>1548</v>
      </c>
      <c r="D141" s="15" t="s">
        <v>1348</v>
      </c>
      <c r="E141" s="15" t="s">
        <v>1929</v>
      </c>
      <c r="F141" s="15" t="s">
        <v>1874</v>
      </c>
      <c r="G141" t="e">
        <f>VLOOKUP(A141,'ALL Projects'!$A$2:$E$513,2,0)</f>
        <v>#N/A</v>
      </c>
    </row>
    <row r="142" spans="1:7">
      <c r="A142" s="16">
        <v>221001461</v>
      </c>
      <c r="B142" s="16" t="s">
        <v>1393</v>
      </c>
      <c r="C142" s="16" t="s">
        <v>1394</v>
      </c>
      <c r="D142" s="15" t="s">
        <v>1348</v>
      </c>
      <c r="E142" s="15" t="s">
        <v>1929</v>
      </c>
      <c r="F142" s="15" t="s">
        <v>1874</v>
      </c>
      <c r="G142" t="e">
        <f>VLOOKUP(A142,'ALL Projects'!$A$2:$E$513,2,0)</f>
        <v>#N/A</v>
      </c>
    </row>
    <row r="143" spans="1:7">
      <c r="A143" s="16">
        <v>221001776</v>
      </c>
      <c r="B143" s="16" t="s">
        <v>1631</v>
      </c>
      <c r="C143" s="16" t="s">
        <v>1632</v>
      </c>
      <c r="D143" s="15" t="s">
        <v>1348</v>
      </c>
      <c r="E143" s="15" t="s">
        <v>1929</v>
      </c>
      <c r="F143" s="15" t="s">
        <v>1874</v>
      </c>
      <c r="G143" t="e">
        <f>VLOOKUP(A143,'ALL Projects'!$A$2:$E$513,2,0)</f>
        <v>#N/A</v>
      </c>
    </row>
    <row r="144" spans="1:7">
      <c r="A144" s="16">
        <v>231000387</v>
      </c>
      <c r="B144" s="16" t="s">
        <v>1858</v>
      </c>
      <c r="C144" s="16" t="s">
        <v>1859</v>
      </c>
      <c r="D144" s="15" t="s">
        <v>1348</v>
      </c>
      <c r="E144" s="15" t="s">
        <v>1929</v>
      </c>
      <c r="F144" s="15" t="s">
        <v>1874</v>
      </c>
      <c r="G144" t="e">
        <f>VLOOKUP(A144,'ALL Projects'!$A$2:$E$513,2,0)</f>
        <v>#N/A</v>
      </c>
    </row>
    <row r="145" spans="1:7">
      <c r="A145" s="16">
        <v>221001951</v>
      </c>
      <c r="B145" s="16" t="s">
        <v>1770</v>
      </c>
      <c r="C145" s="16" t="s">
        <v>1771</v>
      </c>
      <c r="D145" s="15" t="s">
        <v>1348</v>
      </c>
      <c r="E145" s="15" t="s">
        <v>1929</v>
      </c>
      <c r="F145" s="15" t="s">
        <v>1874</v>
      </c>
      <c r="G145" t="e">
        <f>VLOOKUP(A145,'ALL Projects'!$A$2:$E$513,2,0)</f>
        <v>#N/A</v>
      </c>
    </row>
    <row r="146" spans="1:7">
      <c r="A146" s="16">
        <v>211000837</v>
      </c>
      <c r="B146" s="16" t="s">
        <v>1647</v>
      </c>
      <c r="C146" s="16" t="s">
        <v>1648</v>
      </c>
      <c r="D146" s="15" t="s">
        <v>1348</v>
      </c>
      <c r="E146" s="15" t="s">
        <v>1929</v>
      </c>
      <c r="F146" s="15" t="s">
        <v>1874</v>
      </c>
      <c r="G146" t="e">
        <f>VLOOKUP(A146,'ALL Projects'!$A$2:$E$513,2,0)</f>
        <v>#N/A</v>
      </c>
    </row>
    <row r="147" spans="1:7">
      <c r="A147" s="16">
        <v>222000065</v>
      </c>
      <c r="B147" s="16" t="s">
        <v>1934</v>
      </c>
      <c r="C147" s="16" t="s">
        <v>1935</v>
      </c>
      <c r="D147" s="15" t="s">
        <v>1348</v>
      </c>
      <c r="E147" s="15" t="s">
        <v>1929</v>
      </c>
      <c r="F147" s="15" t="s">
        <v>1874</v>
      </c>
      <c r="G147" t="e">
        <f>VLOOKUP(A147,'ALL Projects'!$A$2:$E$513,2,0)</f>
        <v>#N/A</v>
      </c>
    </row>
    <row r="148" spans="1:7">
      <c r="A148" s="16">
        <v>221001448</v>
      </c>
      <c r="B148" s="16" t="s">
        <v>1719</v>
      </c>
      <c r="C148" s="16" t="s">
        <v>1720</v>
      </c>
      <c r="D148" s="15" t="s">
        <v>1348</v>
      </c>
      <c r="E148" s="15" t="s">
        <v>1929</v>
      </c>
      <c r="F148" s="15" t="s">
        <v>1874</v>
      </c>
      <c r="G148" t="e">
        <f>VLOOKUP(A148,'ALL Projects'!$A$2:$E$513,2,0)</f>
        <v>#N/A</v>
      </c>
    </row>
    <row r="149" spans="1:7">
      <c r="A149" s="16">
        <v>221000994</v>
      </c>
      <c r="B149" s="16" t="s">
        <v>1310</v>
      </c>
      <c r="C149" s="16" t="s">
        <v>1311</v>
      </c>
      <c r="D149" s="15" t="s">
        <v>1348</v>
      </c>
      <c r="E149" s="15" t="s">
        <v>1929</v>
      </c>
      <c r="F149" s="15" t="s">
        <v>1874</v>
      </c>
      <c r="G149" t="e">
        <f>VLOOKUP(A149,'ALL Projects'!$A$2:$E$513,2,0)</f>
        <v>#N/A</v>
      </c>
    </row>
    <row r="150" spans="1:7">
      <c r="A150" s="16">
        <v>221001679</v>
      </c>
      <c r="B150" s="16" t="s">
        <v>1563</v>
      </c>
      <c r="C150" s="16" t="s">
        <v>1564</v>
      </c>
      <c r="D150" s="15" t="s">
        <v>1348</v>
      </c>
      <c r="E150" s="15" t="s">
        <v>1929</v>
      </c>
      <c r="F150" s="15" t="s">
        <v>1874</v>
      </c>
      <c r="G150" t="e">
        <f>VLOOKUP(A150,'ALL Projects'!$A$2:$E$513,2,0)</f>
        <v>#N/A</v>
      </c>
    </row>
    <row r="151" spans="1:7">
      <c r="A151" s="16">
        <v>221001658</v>
      </c>
      <c r="B151" s="16" t="s">
        <v>1561</v>
      </c>
      <c r="C151" s="16" t="s">
        <v>1562</v>
      </c>
      <c r="D151" s="15" t="s">
        <v>1348</v>
      </c>
      <c r="E151" s="15" t="s">
        <v>1929</v>
      </c>
      <c r="F151" s="15" t="s">
        <v>1874</v>
      </c>
      <c r="G151" t="e">
        <f>VLOOKUP(A151,'ALL Projects'!$A$2:$E$513,2,0)</f>
        <v>#N/A</v>
      </c>
    </row>
    <row r="152" spans="1:7">
      <c r="A152" s="16">
        <v>221001687</v>
      </c>
      <c r="B152" s="16" t="s">
        <v>1567</v>
      </c>
      <c r="C152" s="16" t="s">
        <v>1568</v>
      </c>
      <c r="D152" s="15" t="s">
        <v>1348</v>
      </c>
      <c r="E152" s="15" t="s">
        <v>1929</v>
      </c>
      <c r="F152" s="15" t="s">
        <v>1874</v>
      </c>
      <c r="G152" t="e">
        <f>VLOOKUP(A152,'ALL Projects'!$A$2:$E$513,2,0)</f>
        <v>#N/A</v>
      </c>
    </row>
    <row r="153" spans="1:7">
      <c r="A153" s="16">
        <v>221002163</v>
      </c>
      <c r="B153" s="16" t="s">
        <v>1641</v>
      </c>
      <c r="C153" s="16" t="s">
        <v>1642</v>
      </c>
      <c r="D153" s="15" t="s">
        <v>1348</v>
      </c>
      <c r="E153" s="15" t="s">
        <v>1929</v>
      </c>
      <c r="F153" s="15" t="s">
        <v>1874</v>
      </c>
      <c r="G153" t="e">
        <f>VLOOKUP(A153,'ALL Projects'!$A$2:$E$513,2,0)</f>
        <v>#N/A</v>
      </c>
    </row>
    <row r="154" spans="1:7">
      <c r="A154" s="16">
        <v>221000765</v>
      </c>
      <c r="B154" s="16" t="s">
        <v>1403</v>
      </c>
      <c r="C154" s="16" t="s">
        <v>1404</v>
      </c>
      <c r="D154" s="15" t="s">
        <v>1348</v>
      </c>
      <c r="E154" s="15" t="s">
        <v>1929</v>
      </c>
      <c r="F154" s="15" t="s">
        <v>1874</v>
      </c>
      <c r="G154" t="e">
        <f>VLOOKUP(A154,'ALL Projects'!$A$2:$E$513,2,0)</f>
        <v>#N/A</v>
      </c>
    </row>
    <row r="155" spans="1:7">
      <c r="A155" s="16">
        <v>221000716</v>
      </c>
      <c r="B155" s="16" t="s">
        <v>1581</v>
      </c>
      <c r="C155" s="16" t="s">
        <v>1582</v>
      </c>
      <c r="D155" s="15" t="s">
        <v>1348</v>
      </c>
      <c r="E155" s="15" t="s">
        <v>1929</v>
      </c>
      <c r="F155" s="15" t="s">
        <v>1874</v>
      </c>
      <c r="G155" t="e">
        <f>VLOOKUP(A155,'ALL Projects'!$A$2:$E$513,2,0)</f>
        <v>#N/A</v>
      </c>
    </row>
    <row r="156" spans="1:7">
      <c r="A156" s="16">
        <v>221001641</v>
      </c>
      <c r="B156" s="16" t="s">
        <v>1457</v>
      </c>
      <c r="C156" s="16" t="s">
        <v>1458</v>
      </c>
      <c r="D156" s="15" t="s">
        <v>1348</v>
      </c>
      <c r="E156" s="15" t="s">
        <v>1929</v>
      </c>
      <c r="F156" s="15" t="s">
        <v>1874</v>
      </c>
      <c r="G156" t="e">
        <f>VLOOKUP(A156,'ALL Projects'!$A$2:$E$513,2,0)</f>
        <v>#N/A</v>
      </c>
    </row>
    <row r="157" spans="1:7">
      <c r="A157" s="16">
        <v>221001269</v>
      </c>
      <c r="B157" s="16" t="s">
        <v>1405</v>
      </c>
      <c r="C157" s="16" t="s">
        <v>1406</v>
      </c>
      <c r="D157" s="15" t="s">
        <v>1348</v>
      </c>
      <c r="E157" s="15" t="s">
        <v>1929</v>
      </c>
      <c r="F157" s="15" t="s">
        <v>1874</v>
      </c>
      <c r="G157" t="e">
        <f>VLOOKUP(A157,'ALL Projects'!$A$2:$E$513,2,0)</f>
        <v>#N/A</v>
      </c>
    </row>
    <row r="158" spans="1:7">
      <c r="A158" s="16">
        <v>221000846</v>
      </c>
      <c r="B158" s="16" t="s">
        <v>1431</v>
      </c>
      <c r="C158" s="16" t="s">
        <v>1432</v>
      </c>
      <c r="D158" s="15" t="s">
        <v>1348</v>
      </c>
      <c r="E158" s="15" t="s">
        <v>1929</v>
      </c>
      <c r="F158" s="15" t="s">
        <v>1874</v>
      </c>
      <c r="G158" t="e">
        <f>VLOOKUP(A158,'ALL Projects'!$A$2:$E$513,2,0)</f>
        <v>#N/A</v>
      </c>
    </row>
    <row r="159" spans="1:7" ht="15.75" customHeight="1">
      <c r="A159" s="16">
        <v>222000087</v>
      </c>
      <c r="B159" s="16" t="s">
        <v>1824</v>
      </c>
      <c r="C159" s="16" t="s">
        <v>1825</v>
      </c>
      <c r="D159" s="15" t="s">
        <v>1348</v>
      </c>
      <c r="E159" s="15" t="s">
        <v>1929</v>
      </c>
      <c r="F159" s="15" t="s">
        <v>1874</v>
      </c>
      <c r="G159" t="e">
        <f>VLOOKUP(A159,'ALL Projects'!$A$2:$E$513,2,0)</f>
        <v>#N/A</v>
      </c>
    </row>
    <row r="160" spans="1:7">
      <c r="A160" s="16">
        <v>221000407</v>
      </c>
      <c r="B160" s="16" t="s">
        <v>1373</v>
      </c>
      <c r="C160" s="16" t="s">
        <v>1374</v>
      </c>
      <c r="D160" s="15" t="s">
        <v>1348</v>
      </c>
      <c r="E160" s="15" t="s">
        <v>1929</v>
      </c>
      <c r="F160" s="15" t="s">
        <v>1874</v>
      </c>
      <c r="G160" t="e">
        <f>VLOOKUP(A160,'ALL Projects'!$A$2:$E$513,2,0)</f>
        <v>#N/A</v>
      </c>
    </row>
    <row r="161" spans="1:7">
      <c r="A161" s="16">
        <v>221000214</v>
      </c>
      <c r="B161" s="16" t="s">
        <v>1357</v>
      </c>
      <c r="C161" s="16" t="s">
        <v>1358</v>
      </c>
      <c r="D161" s="15" t="s">
        <v>1348</v>
      </c>
      <c r="E161" s="15" t="s">
        <v>1929</v>
      </c>
      <c r="F161" s="15" t="s">
        <v>1874</v>
      </c>
      <c r="G161" t="e">
        <f>VLOOKUP(A161,'ALL Projects'!$A$2:$E$513,2,0)</f>
        <v>#N/A</v>
      </c>
    </row>
    <row r="162" spans="1:7">
      <c r="A162" s="16">
        <v>221001311</v>
      </c>
      <c r="B162" s="16" t="s">
        <v>1623</v>
      </c>
      <c r="C162" s="16" t="s">
        <v>1624</v>
      </c>
      <c r="D162" s="15" t="s">
        <v>1348</v>
      </c>
      <c r="E162" s="15" t="s">
        <v>1929</v>
      </c>
      <c r="F162" s="15" t="s">
        <v>1874</v>
      </c>
      <c r="G162" t="e">
        <f>VLOOKUP(A162,'ALL Projects'!$A$2:$E$513,2,0)</f>
        <v>#N/A</v>
      </c>
    </row>
    <row r="163" spans="1:7">
      <c r="A163" s="16">
        <v>221001709</v>
      </c>
      <c r="B163" s="16" t="s">
        <v>1599</v>
      </c>
      <c r="C163" s="16" t="s">
        <v>1600</v>
      </c>
      <c r="D163" s="15" t="s">
        <v>1348</v>
      </c>
      <c r="E163" s="15" t="s">
        <v>1929</v>
      </c>
      <c r="F163" s="15" t="s">
        <v>1874</v>
      </c>
      <c r="G163" t="e">
        <f>VLOOKUP(A163,'ALL Projects'!$A$2:$E$513,2,0)</f>
        <v>#N/A</v>
      </c>
    </row>
    <row r="164" spans="1:7">
      <c r="A164" s="16">
        <v>221001971</v>
      </c>
      <c r="B164" s="16" t="s">
        <v>1702</v>
      </c>
      <c r="C164" s="16" t="s">
        <v>1703</v>
      </c>
      <c r="D164" s="15" t="s">
        <v>1348</v>
      </c>
      <c r="E164" s="15" t="s">
        <v>1929</v>
      </c>
      <c r="F164" s="15" t="s">
        <v>1874</v>
      </c>
      <c r="G164" t="e">
        <f>VLOOKUP(A164,'ALL Projects'!$A$2:$E$513,2,0)</f>
        <v>#N/A</v>
      </c>
    </row>
    <row r="165" spans="1:7">
      <c r="A165" s="16">
        <v>221000610</v>
      </c>
      <c r="B165" s="16" t="s">
        <v>1421</v>
      </c>
      <c r="C165" s="16" t="s">
        <v>1422</v>
      </c>
      <c r="D165" s="15" t="s">
        <v>1348</v>
      </c>
      <c r="E165" s="15" t="s">
        <v>1929</v>
      </c>
      <c r="F165" s="15" t="s">
        <v>1874</v>
      </c>
      <c r="G165" t="e">
        <f>VLOOKUP(A165,'ALL Projects'!$A$2:$E$513,2,0)</f>
        <v>#N/A</v>
      </c>
    </row>
    <row r="166" spans="1:7">
      <c r="A166" s="16">
        <v>221001828</v>
      </c>
      <c r="B166" s="16" t="s">
        <v>1605</v>
      </c>
      <c r="C166" s="16" t="s">
        <v>1606</v>
      </c>
      <c r="D166" s="15" t="s">
        <v>1348</v>
      </c>
      <c r="E166" s="15" t="s">
        <v>1929</v>
      </c>
      <c r="F166" s="15" t="s">
        <v>1874</v>
      </c>
      <c r="G166" t="e">
        <f>VLOOKUP(A166,'ALL Projects'!$A$2:$E$513,2,0)</f>
        <v>#N/A</v>
      </c>
    </row>
    <row r="167" spans="1:7">
      <c r="A167" s="16">
        <v>221001754</v>
      </c>
      <c r="B167" s="16" t="s">
        <v>1848</v>
      </c>
      <c r="C167" s="16" t="s">
        <v>1849</v>
      </c>
      <c r="D167" s="15" t="s">
        <v>1348</v>
      </c>
      <c r="E167" s="15" t="s">
        <v>1929</v>
      </c>
      <c r="F167" s="15" t="s">
        <v>1874</v>
      </c>
      <c r="G167" t="e">
        <f>VLOOKUP(A167,'ALL Projects'!$A$2:$E$513,2,0)</f>
        <v>#N/A</v>
      </c>
    </row>
    <row r="168" spans="1:7">
      <c r="A168" s="16">
        <v>221001614</v>
      </c>
      <c r="B168" s="16" t="s">
        <v>1555</v>
      </c>
      <c r="C168" s="16" t="s">
        <v>1556</v>
      </c>
      <c r="D168" s="15" t="s">
        <v>1348</v>
      </c>
      <c r="E168" s="15" t="s">
        <v>1929</v>
      </c>
      <c r="F168" s="15" t="s">
        <v>1874</v>
      </c>
      <c r="G168" t="e">
        <f>VLOOKUP(A168,'ALL Projects'!$A$2:$E$513,2,0)</f>
        <v>#N/A</v>
      </c>
    </row>
    <row r="169" spans="1:7">
      <c r="A169" s="16">
        <v>221001562</v>
      </c>
      <c r="B169" s="16" t="s">
        <v>1455</v>
      </c>
      <c r="C169" s="16" t="s">
        <v>1456</v>
      </c>
      <c r="D169" s="15" t="s">
        <v>1348</v>
      </c>
      <c r="E169" s="15" t="s">
        <v>1929</v>
      </c>
      <c r="F169" s="15" t="s">
        <v>1874</v>
      </c>
      <c r="G169" t="e">
        <f>VLOOKUP(A169,'ALL Projects'!$A$2:$E$513,2,0)</f>
        <v>#N/A</v>
      </c>
    </row>
    <row r="170" spans="1:7">
      <c r="A170" s="16">
        <v>221001872</v>
      </c>
      <c r="B170" s="16" t="s">
        <v>1477</v>
      </c>
      <c r="C170" s="16" t="s">
        <v>1478</v>
      </c>
      <c r="D170" s="15" t="s">
        <v>1348</v>
      </c>
      <c r="E170" s="15" t="s">
        <v>1929</v>
      </c>
      <c r="F170" s="15" t="s">
        <v>1874</v>
      </c>
      <c r="G170" t="e">
        <f>VLOOKUP(A170,'ALL Projects'!$A$2:$E$513,2,0)</f>
        <v>#N/A</v>
      </c>
    </row>
    <row r="171" spans="1:7">
      <c r="A171" s="16">
        <v>221000902</v>
      </c>
      <c r="B171" s="16" t="s">
        <v>1655</v>
      </c>
      <c r="C171" s="16" t="s">
        <v>1656</v>
      </c>
      <c r="D171" s="15" t="s">
        <v>1348</v>
      </c>
      <c r="E171" s="15" t="s">
        <v>1929</v>
      </c>
      <c r="F171" s="15" t="s">
        <v>1874</v>
      </c>
      <c r="G171" t="e">
        <f>VLOOKUP(A171,'ALL Projects'!$A$2:$E$513,2,0)</f>
        <v>#N/A</v>
      </c>
    </row>
    <row r="172" spans="1:7">
      <c r="A172" s="16">
        <v>221001680</v>
      </c>
      <c r="B172" s="16" t="s">
        <v>1461</v>
      </c>
      <c r="C172" s="16" t="s">
        <v>1462</v>
      </c>
      <c r="D172" s="15" t="s">
        <v>1348</v>
      </c>
      <c r="E172" s="15" t="s">
        <v>1929</v>
      </c>
      <c r="F172" s="15" t="s">
        <v>1874</v>
      </c>
      <c r="G172" t="e">
        <f>VLOOKUP(A172,'ALL Projects'!$A$2:$E$513,2,0)</f>
        <v>#N/A</v>
      </c>
    </row>
    <row r="173" spans="1:7">
      <c r="A173" s="16">
        <v>221001806</v>
      </c>
      <c r="B173" s="16" t="s">
        <v>1834</v>
      </c>
      <c r="C173" s="16" t="s">
        <v>1835</v>
      </c>
      <c r="D173" s="15" t="s">
        <v>1348</v>
      </c>
      <c r="E173" s="15" t="s">
        <v>1929</v>
      </c>
      <c r="F173" s="15" t="s">
        <v>1874</v>
      </c>
      <c r="G173" t="e">
        <f>VLOOKUP(A173,'ALL Projects'!$A$2:$E$513,2,0)</f>
        <v>#N/A</v>
      </c>
    </row>
    <row r="174" spans="1:7">
      <c r="A174" s="16">
        <v>221001489</v>
      </c>
      <c r="B174" s="16" t="s">
        <v>1451</v>
      </c>
      <c r="C174" s="16" t="s">
        <v>1452</v>
      </c>
      <c r="D174" s="15" t="s">
        <v>1348</v>
      </c>
      <c r="E174" s="15" t="s">
        <v>1929</v>
      </c>
      <c r="F174" s="15" t="s">
        <v>1874</v>
      </c>
      <c r="G174" t="e">
        <f>VLOOKUP(A174,'ALL Projects'!$A$2:$E$513,2,0)</f>
        <v>#N/A</v>
      </c>
    </row>
    <row r="175" spans="1:7">
      <c r="A175" s="16">
        <v>221001780</v>
      </c>
      <c r="B175" s="16" t="s">
        <v>1519</v>
      </c>
      <c r="C175" s="16" t="s">
        <v>1520</v>
      </c>
      <c r="D175" s="15" t="s">
        <v>1348</v>
      </c>
      <c r="E175" s="15" t="s">
        <v>1929</v>
      </c>
      <c r="F175" s="15" t="s">
        <v>1874</v>
      </c>
      <c r="G175" t="e">
        <f>VLOOKUP(A175,'ALL Projects'!$A$2:$E$513,2,0)</f>
        <v>#N/A</v>
      </c>
    </row>
    <row r="176" spans="1:7">
      <c r="A176" s="16">
        <v>221002161</v>
      </c>
      <c r="B176" s="16" t="s">
        <v>1639</v>
      </c>
      <c r="C176" s="16" t="s">
        <v>1640</v>
      </c>
      <c r="D176" s="15" t="s">
        <v>1348</v>
      </c>
      <c r="E176" s="15" t="s">
        <v>1929</v>
      </c>
      <c r="F176" s="15" t="s">
        <v>1874</v>
      </c>
      <c r="G176" t="e">
        <f>VLOOKUP(A176,'ALL Projects'!$A$2:$E$513,2,0)</f>
        <v>#N/A</v>
      </c>
    </row>
    <row r="177" spans="1:7">
      <c r="A177" s="16">
        <v>221001707</v>
      </c>
      <c r="B177" s="16" t="s">
        <v>1465</v>
      </c>
      <c r="C177" s="16" t="s">
        <v>1466</v>
      </c>
      <c r="D177" s="15" t="s">
        <v>1348</v>
      </c>
      <c r="E177" s="15" t="s">
        <v>1929</v>
      </c>
      <c r="F177" s="15" t="s">
        <v>1874</v>
      </c>
      <c r="G177" t="e">
        <f>VLOOKUP(A177,'ALL Projects'!$A$2:$E$513,2,0)</f>
        <v>#N/A</v>
      </c>
    </row>
    <row r="178" spans="1:7">
      <c r="A178" s="16">
        <v>221001798</v>
      </c>
      <c r="B178" s="16" t="s">
        <v>1603</v>
      </c>
      <c r="C178" s="16" t="s">
        <v>1604</v>
      </c>
      <c r="D178" s="15" t="s">
        <v>1348</v>
      </c>
      <c r="E178" s="15" t="s">
        <v>1929</v>
      </c>
      <c r="F178" s="15" t="s">
        <v>1874</v>
      </c>
      <c r="G178" t="e">
        <f>VLOOKUP(A178,'ALL Projects'!$A$2:$E$513,2,0)</f>
        <v>#N/A</v>
      </c>
    </row>
    <row r="179" spans="1:7">
      <c r="A179" s="16">
        <v>211002025</v>
      </c>
      <c r="B179" s="16" t="s">
        <v>1936</v>
      </c>
      <c r="C179" s="16" t="s">
        <v>1937</v>
      </c>
      <c r="D179" s="15" t="s">
        <v>1348</v>
      </c>
      <c r="E179" s="15" t="s">
        <v>1929</v>
      </c>
      <c r="F179" s="15" t="s">
        <v>1874</v>
      </c>
      <c r="G179" t="e">
        <f>VLOOKUP(A179,'ALL Projects'!$A$2:$E$513,2,0)</f>
        <v>#N/A</v>
      </c>
    </row>
    <row r="180" spans="1:7">
      <c r="A180" s="16">
        <v>221001394</v>
      </c>
      <c r="B180" s="16" t="s">
        <v>1794</v>
      </c>
      <c r="C180" s="16" t="s">
        <v>1795</v>
      </c>
      <c r="D180" s="15" t="s">
        <v>1348</v>
      </c>
      <c r="E180" s="15" t="s">
        <v>1929</v>
      </c>
      <c r="F180" s="15" t="s">
        <v>1874</v>
      </c>
      <c r="G180" t="e">
        <f>VLOOKUP(A180,'ALL Projects'!$A$2:$E$513,2,0)</f>
        <v>#N/A</v>
      </c>
    </row>
    <row r="181" spans="1:7">
      <c r="A181" s="16">
        <v>221000068</v>
      </c>
      <c r="B181" s="16" t="s">
        <v>1595</v>
      </c>
      <c r="C181" s="16" t="s">
        <v>1596</v>
      </c>
      <c r="D181" s="15" t="s">
        <v>1348</v>
      </c>
      <c r="E181" s="15" t="s">
        <v>1929</v>
      </c>
      <c r="F181" s="15" t="s">
        <v>1874</v>
      </c>
      <c r="G181" t="e">
        <f>VLOOKUP(A181,'ALL Projects'!$A$2:$E$513,2,0)</f>
        <v>#N/A</v>
      </c>
    </row>
    <row r="182" spans="1:7">
      <c r="A182" s="16">
        <v>221001807</v>
      </c>
      <c r="B182" s="16" t="s">
        <v>1694</v>
      </c>
      <c r="C182" s="16" t="s">
        <v>1695</v>
      </c>
      <c r="D182" s="15" t="s">
        <v>1348</v>
      </c>
      <c r="E182" s="15" t="s">
        <v>1929</v>
      </c>
      <c r="F182" s="15" t="s">
        <v>1874</v>
      </c>
      <c r="G182" t="e">
        <f>VLOOKUP(A182,'ALL Projects'!$A$2:$E$513,2,0)</f>
        <v>#N/A</v>
      </c>
    </row>
    <row r="183" spans="1:7" ht="15" customHeight="1">
      <c r="A183" s="16">
        <v>221001672</v>
      </c>
      <c r="B183" s="16" t="s">
        <v>1459</v>
      </c>
      <c r="C183" s="16" t="s">
        <v>1460</v>
      </c>
      <c r="D183" s="15" t="s">
        <v>1348</v>
      </c>
      <c r="E183" s="15" t="s">
        <v>1929</v>
      </c>
      <c r="F183" s="15" t="s">
        <v>1874</v>
      </c>
      <c r="G183" t="e">
        <f>VLOOKUP(A183,'ALL Projects'!$A$2:$E$513,2,0)</f>
        <v>#N/A</v>
      </c>
    </row>
    <row r="184" spans="1:7">
      <c r="A184" s="16">
        <v>221000351</v>
      </c>
      <c r="B184" s="16" t="s">
        <v>1677</v>
      </c>
      <c r="C184" s="16" t="s">
        <v>1678</v>
      </c>
      <c r="D184" s="15" t="s">
        <v>1348</v>
      </c>
      <c r="E184" s="15" t="s">
        <v>1929</v>
      </c>
      <c r="F184" s="15" t="s">
        <v>1874</v>
      </c>
      <c r="G184" t="e">
        <f>VLOOKUP(A184,'ALL Projects'!$A$2:$E$513,2,0)</f>
        <v>#N/A</v>
      </c>
    </row>
    <row r="185" spans="1:7">
      <c r="A185" s="16">
        <v>221000800</v>
      </c>
      <c r="B185" s="16" t="s">
        <v>1375</v>
      </c>
      <c r="C185" s="16" t="s">
        <v>1376</v>
      </c>
      <c r="D185" s="15" t="s">
        <v>1348</v>
      </c>
      <c r="E185" s="15" t="s">
        <v>1929</v>
      </c>
      <c r="F185" s="15" t="s">
        <v>1874</v>
      </c>
      <c r="G185" t="e">
        <f>VLOOKUP(A185,'ALL Projects'!$A$2:$E$513,2,0)</f>
        <v>#N/A</v>
      </c>
    </row>
    <row r="186" spans="1:7">
      <c r="A186" s="16">
        <v>221000837</v>
      </c>
      <c r="B186" s="16" t="s">
        <v>1535</v>
      </c>
      <c r="C186" s="16" t="s">
        <v>1536</v>
      </c>
      <c r="D186" s="15" t="s">
        <v>1348</v>
      </c>
      <c r="E186" s="15" t="s">
        <v>1929</v>
      </c>
      <c r="F186" s="15" t="s">
        <v>1874</v>
      </c>
      <c r="G186" t="e">
        <f>VLOOKUP(A186,'ALL Projects'!$A$2:$E$513,2,0)</f>
        <v>#N/A</v>
      </c>
    </row>
    <row r="187" spans="1:7">
      <c r="A187" s="16">
        <v>221000003</v>
      </c>
      <c r="B187" s="16" t="s">
        <v>1579</v>
      </c>
      <c r="C187" s="16" t="s">
        <v>1580</v>
      </c>
      <c r="D187" s="15" t="s">
        <v>1348</v>
      </c>
      <c r="E187" s="15" t="s">
        <v>1929</v>
      </c>
      <c r="F187" s="15" t="s">
        <v>1874</v>
      </c>
      <c r="G187" t="e">
        <f>VLOOKUP(A187,'ALL Projects'!$A$2:$E$513,2,0)</f>
        <v>#N/A</v>
      </c>
    </row>
    <row r="188" spans="1:7">
      <c r="A188" s="16">
        <v>221001698</v>
      </c>
      <c r="B188" s="16" t="s">
        <v>1587</v>
      </c>
      <c r="C188" s="16" t="s">
        <v>1588</v>
      </c>
      <c r="D188" s="15" t="s">
        <v>1348</v>
      </c>
      <c r="E188" s="15" t="s">
        <v>1929</v>
      </c>
      <c r="F188" s="15" t="s">
        <v>1874</v>
      </c>
      <c r="G188" t="e">
        <f>VLOOKUP(A188,'ALL Projects'!$A$2:$E$513,2,0)</f>
        <v>#N/A</v>
      </c>
    </row>
    <row r="189" spans="1:7">
      <c r="A189" s="16">
        <v>221001221</v>
      </c>
      <c r="B189" s="16" t="s">
        <v>1443</v>
      </c>
      <c r="C189" s="16" t="s">
        <v>1444</v>
      </c>
      <c r="D189" s="15" t="s">
        <v>1348</v>
      </c>
      <c r="E189" s="15" t="s">
        <v>1929</v>
      </c>
      <c r="F189" s="15" t="s">
        <v>1874</v>
      </c>
      <c r="G189" t="e">
        <f>VLOOKUP(A189,'ALL Projects'!$A$2:$E$513,2,0)</f>
        <v>#N/A</v>
      </c>
    </row>
    <row r="190" spans="1:7">
      <c r="A190" s="16">
        <v>221000898</v>
      </c>
      <c r="B190" s="16" t="s">
        <v>1653</v>
      </c>
      <c r="C190" s="16" t="s">
        <v>1654</v>
      </c>
      <c r="D190" s="15" t="s">
        <v>1348</v>
      </c>
      <c r="E190" s="15" t="s">
        <v>1929</v>
      </c>
      <c r="F190" s="15" t="s">
        <v>1874</v>
      </c>
      <c r="G190" t="e">
        <f>VLOOKUP(A190,'ALL Projects'!$A$2:$E$513,2,0)</f>
        <v>#N/A</v>
      </c>
    </row>
    <row r="191" spans="1:7">
      <c r="A191" s="16">
        <v>221001851</v>
      </c>
      <c r="B191" s="16" t="s">
        <v>1698</v>
      </c>
      <c r="C191" s="16" t="s">
        <v>1699</v>
      </c>
      <c r="D191" s="15" t="s">
        <v>1348</v>
      </c>
      <c r="E191" s="15" t="s">
        <v>1929</v>
      </c>
      <c r="F191" s="15" t="s">
        <v>1874</v>
      </c>
      <c r="G191" t="e">
        <f>VLOOKUP(A191,'ALL Projects'!$A$2:$E$513,2,0)</f>
        <v>#N/A</v>
      </c>
    </row>
    <row r="192" spans="1:7">
      <c r="A192" s="16">
        <v>221002200</v>
      </c>
      <c r="B192" s="16" t="s">
        <v>1938</v>
      </c>
      <c r="C192" s="16" t="s">
        <v>1333</v>
      </c>
      <c r="D192" s="15" t="s">
        <v>1348</v>
      </c>
      <c r="E192" s="15" t="s">
        <v>1929</v>
      </c>
      <c r="F192" s="15" t="s">
        <v>1874</v>
      </c>
      <c r="G192" t="e">
        <f>VLOOKUP(A192,'ALL Projects'!$A$2:$E$513,2,0)</f>
        <v>#N/A</v>
      </c>
    </row>
    <row r="193" spans="1:7">
      <c r="A193" s="16">
        <v>221001957</v>
      </c>
      <c r="B193" s="16" t="s">
        <v>1491</v>
      </c>
      <c r="C193" s="16" t="s">
        <v>1492</v>
      </c>
      <c r="D193" s="15" t="s">
        <v>1348</v>
      </c>
      <c r="E193" s="15" t="s">
        <v>1929</v>
      </c>
      <c r="F193" s="15" t="s">
        <v>1874</v>
      </c>
      <c r="G193" t="e">
        <f>VLOOKUP(A193,'ALL Projects'!$A$2:$E$513,2,0)</f>
        <v>#N/A</v>
      </c>
    </row>
    <row r="194" spans="1:7">
      <c r="A194" s="16">
        <v>212002434</v>
      </c>
      <c r="B194" s="16" t="s">
        <v>1355</v>
      </c>
      <c r="C194" s="16" t="s">
        <v>1356</v>
      </c>
      <c r="D194" s="15" t="s">
        <v>1348</v>
      </c>
      <c r="E194" s="15" t="s">
        <v>1929</v>
      </c>
      <c r="F194" s="15" t="s">
        <v>1874</v>
      </c>
      <c r="G194" t="e">
        <f>VLOOKUP(A194,'ALL Projects'!$A$2:$E$513,2,0)</f>
        <v>#N/A</v>
      </c>
    </row>
    <row r="195" spans="1:7">
      <c r="A195" s="16">
        <v>221001868</v>
      </c>
      <c r="B195" s="16" t="s">
        <v>1475</v>
      </c>
      <c r="C195" s="16" t="s">
        <v>1476</v>
      </c>
      <c r="D195" s="15" t="s">
        <v>1348</v>
      </c>
      <c r="E195" s="15" t="s">
        <v>1929</v>
      </c>
      <c r="F195" s="15" t="s">
        <v>1874</v>
      </c>
      <c r="G195" t="e">
        <f>VLOOKUP(A195,'ALL Projects'!$A$2:$E$513,2,0)</f>
        <v>#N/A</v>
      </c>
    </row>
    <row r="196" spans="1:7">
      <c r="A196" s="16">
        <v>221001989</v>
      </c>
      <c r="B196" s="16" t="s">
        <v>1744</v>
      </c>
      <c r="C196" s="16" t="s">
        <v>1745</v>
      </c>
      <c r="D196" s="15" t="s">
        <v>1348</v>
      </c>
      <c r="E196" s="15" t="s">
        <v>1929</v>
      </c>
      <c r="F196" s="15" t="s">
        <v>1874</v>
      </c>
      <c r="G196" t="e">
        <f>VLOOKUP(A196,'ALL Projects'!$A$2:$E$513,2,0)</f>
        <v>#N/A</v>
      </c>
    </row>
    <row r="197" spans="1:7">
      <c r="A197" s="16">
        <v>221001313</v>
      </c>
      <c r="B197" s="16" t="s">
        <v>1545</v>
      </c>
      <c r="C197" s="16" t="s">
        <v>1546</v>
      </c>
      <c r="D197" s="15" t="s">
        <v>1348</v>
      </c>
      <c r="E197" s="15" t="s">
        <v>1929</v>
      </c>
      <c r="F197" s="15" t="s">
        <v>1874</v>
      </c>
      <c r="G197" t="e">
        <f>VLOOKUP(A197,'ALL Projects'!$A$2:$E$513,2,0)</f>
        <v>#N/A</v>
      </c>
    </row>
    <row r="198" spans="1:7">
      <c r="A198" s="16">
        <v>211001779</v>
      </c>
      <c r="B198" s="16" t="s">
        <v>1730</v>
      </c>
      <c r="C198" s="16" t="s">
        <v>1731</v>
      </c>
      <c r="D198" s="15" t="s">
        <v>1348</v>
      </c>
      <c r="E198" s="15" t="s">
        <v>1929</v>
      </c>
      <c r="F198" s="15" t="s">
        <v>1874</v>
      </c>
      <c r="G198" t="e">
        <f>VLOOKUP(A198,'ALL Projects'!$A$2:$E$513,2,0)</f>
        <v>#N/A</v>
      </c>
    </row>
    <row r="199" spans="1:7">
      <c r="A199" s="16">
        <v>19100361</v>
      </c>
      <c r="B199" s="16" t="s">
        <v>1593</v>
      </c>
      <c r="C199" s="16" t="s">
        <v>1594</v>
      </c>
      <c r="D199" s="15" t="s">
        <v>1348</v>
      </c>
      <c r="E199" s="15" t="s">
        <v>1929</v>
      </c>
      <c r="F199" s="15" t="s">
        <v>1874</v>
      </c>
      <c r="G199" t="e">
        <f>VLOOKUP(A199,'ALL Projects'!$A$2:$E$513,2,0)</f>
        <v>#N/A</v>
      </c>
    </row>
    <row r="200" spans="1:7">
      <c r="A200" s="16">
        <v>221001772</v>
      </c>
      <c r="B200" s="16" t="s">
        <v>1389</v>
      </c>
      <c r="C200" s="16" t="s">
        <v>1390</v>
      </c>
      <c r="D200" s="15" t="s">
        <v>1348</v>
      </c>
      <c r="E200" s="15" t="s">
        <v>1929</v>
      </c>
      <c r="F200" s="15" t="s">
        <v>1874</v>
      </c>
      <c r="G200" t="e">
        <f>VLOOKUP(A200,'ALL Projects'!$A$2:$E$513,2,0)</f>
        <v>#N/A</v>
      </c>
    </row>
    <row r="201" spans="1:7">
      <c r="A201" s="16">
        <v>221001692</v>
      </c>
      <c r="B201" s="16" t="s">
        <v>1409</v>
      </c>
      <c r="C201" s="16" t="s">
        <v>1410</v>
      </c>
      <c r="D201" s="15" t="s">
        <v>1348</v>
      </c>
      <c r="E201" s="15" t="s">
        <v>1929</v>
      </c>
      <c r="F201" s="15" t="s">
        <v>1874</v>
      </c>
      <c r="G201" t="e">
        <f>VLOOKUP(A201,'ALL Projects'!$A$2:$E$513,2,0)</f>
        <v>#N/A</v>
      </c>
    </row>
    <row r="202" spans="1:7">
      <c r="A202" s="16">
        <v>221001954</v>
      </c>
      <c r="B202" s="16" t="s">
        <v>1509</v>
      </c>
      <c r="C202" s="16" t="s">
        <v>1510</v>
      </c>
      <c r="D202" s="15" t="s">
        <v>1348</v>
      </c>
      <c r="E202" s="15" t="s">
        <v>1929</v>
      </c>
      <c r="F202" s="15" t="s">
        <v>1874</v>
      </c>
      <c r="G202" t="e">
        <f>VLOOKUP(A202,'ALL Projects'!$A$2:$E$513,2,0)</f>
        <v>#N/A</v>
      </c>
    </row>
    <row r="203" spans="1:7">
      <c r="A203" s="16">
        <v>221000447</v>
      </c>
      <c r="B203" s="16" t="s">
        <v>1679</v>
      </c>
      <c r="C203" s="16" t="s">
        <v>1680</v>
      </c>
      <c r="D203" s="15" t="s">
        <v>1348</v>
      </c>
      <c r="E203" s="15" t="s">
        <v>1929</v>
      </c>
      <c r="F203" s="15" t="s">
        <v>1874</v>
      </c>
      <c r="G203" t="e">
        <f>VLOOKUP(A203,'ALL Projects'!$A$2:$E$513,2,0)</f>
        <v>#N/A</v>
      </c>
    </row>
    <row r="204" spans="1:7">
      <c r="A204" s="16">
        <v>221001253</v>
      </c>
      <c r="B204" s="16" t="s">
        <v>1818</v>
      </c>
      <c r="C204" s="16" t="s">
        <v>1819</v>
      </c>
      <c r="D204" s="15" t="s">
        <v>1348</v>
      </c>
      <c r="E204" s="15" t="s">
        <v>1929</v>
      </c>
      <c r="F204" s="15" t="s">
        <v>1874</v>
      </c>
      <c r="G204" t="e">
        <f>VLOOKUP(A204,'ALL Projects'!$A$2:$E$513,2,0)</f>
        <v>#N/A</v>
      </c>
    </row>
    <row r="205" spans="1:7">
      <c r="A205" s="16">
        <v>221000919</v>
      </c>
      <c r="B205" s="16" t="s">
        <v>1379</v>
      </c>
      <c r="C205" s="16" t="s">
        <v>1380</v>
      </c>
      <c r="D205" s="15" t="s">
        <v>1348</v>
      </c>
      <c r="E205" s="15" t="s">
        <v>1929</v>
      </c>
      <c r="F205" s="15" t="s">
        <v>1874</v>
      </c>
      <c r="G205" t="e">
        <f>VLOOKUP(A205,'ALL Projects'!$A$2:$E$513,2,0)</f>
        <v>#N/A</v>
      </c>
    </row>
    <row r="206" spans="1:7">
      <c r="A206" s="16">
        <v>221001912</v>
      </c>
      <c r="B206" s="16" t="s">
        <v>1661</v>
      </c>
      <c r="C206" s="16" t="s">
        <v>1662</v>
      </c>
      <c r="D206" s="15" t="s">
        <v>1348</v>
      </c>
      <c r="E206" s="15" t="s">
        <v>1929</v>
      </c>
      <c r="F206" s="15" t="s">
        <v>1874</v>
      </c>
      <c r="G206" t="e">
        <f>VLOOKUP(A206,'ALL Projects'!$A$2:$E$513,2,0)</f>
        <v>#N/A</v>
      </c>
    </row>
    <row r="207" spans="1:7">
      <c r="A207" s="16">
        <v>221000806</v>
      </c>
      <c r="B207" s="16" t="s">
        <v>1377</v>
      </c>
      <c r="C207" s="16" t="s">
        <v>1378</v>
      </c>
      <c r="D207" s="15" t="s">
        <v>1348</v>
      </c>
      <c r="E207" s="15" t="s">
        <v>1929</v>
      </c>
      <c r="F207" s="15" t="s">
        <v>1874</v>
      </c>
      <c r="G207" t="e">
        <f>VLOOKUP(A207,'ALL Projects'!$A$2:$E$513,2,0)</f>
        <v>#N/A</v>
      </c>
    </row>
    <row r="208" spans="1:7">
      <c r="A208" s="16">
        <v>221001906</v>
      </c>
      <c r="B208" s="16" t="s">
        <v>1573</v>
      </c>
      <c r="C208" s="16" t="s">
        <v>1574</v>
      </c>
      <c r="D208" s="15" t="s">
        <v>1348</v>
      </c>
      <c r="E208" s="15" t="s">
        <v>1929</v>
      </c>
      <c r="F208" s="15" t="s">
        <v>1874</v>
      </c>
      <c r="G208" t="e">
        <f>VLOOKUP(A208,'ALL Projects'!$A$2:$E$513,2,0)</f>
        <v>#N/A</v>
      </c>
    </row>
    <row r="209" spans="1:7">
      <c r="A209" s="16">
        <v>221001723</v>
      </c>
      <c r="B209" s="16" t="s">
        <v>1601</v>
      </c>
      <c r="C209" s="16" t="s">
        <v>1602</v>
      </c>
      <c r="D209" s="15" t="s">
        <v>1348</v>
      </c>
      <c r="E209" s="15" t="s">
        <v>1929</v>
      </c>
      <c r="F209" s="15" t="s">
        <v>1874</v>
      </c>
      <c r="G209" t="e">
        <f>VLOOKUP(A209,'ALL Projects'!$A$2:$E$513,2,0)</f>
        <v>#N/A</v>
      </c>
    </row>
    <row r="210" spans="1:7">
      <c r="A210" s="16">
        <v>221001541</v>
      </c>
      <c r="B210" s="16" t="s">
        <v>1387</v>
      </c>
      <c r="C210" s="16" t="s">
        <v>1388</v>
      </c>
      <c r="D210" s="15" t="s">
        <v>1348</v>
      </c>
      <c r="E210" s="15" t="s">
        <v>1929</v>
      </c>
      <c r="F210" s="15" t="s">
        <v>1874</v>
      </c>
      <c r="G210" t="e">
        <f>VLOOKUP(A210,'ALL Projects'!$A$2:$E$513,2,0)</f>
        <v>#N/A</v>
      </c>
    </row>
    <row r="211" spans="1:7">
      <c r="A211" s="16">
        <v>221001684</v>
      </c>
      <c r="B211" s="16" t="s">
        <v>1565</v>
      </c>
      <c r="C211" s="16" t="s">
        <v>1566</v>
      </c>
      <c r="D211" s="15" t="s">
        <v>1348</v>
      </c>
      <c r="E211" s="15" t="s">
        <v>1929</v>
      </c>
      <c r="F211" s="15" t="s">
        <v>1874</v>
      </c>
      <c r="G211" t="e">
        <f>VLOOKUP(A211,'ALL Projects'!$A$2:$E$513,2,0)</f>
        <v>#N/A</v>
      </c>
    </row>
    <row r="212" spans="1:7">
      <c r="A212" s="16">
        <v>221001914</v>
      </c>
      <c r="B212" s="16" t="s">
        <v>1487</v>
      </c>
      <c r="C212" s="16" t="s">
        <v>1488</v>
      </c>
      <c r="D212" s="15" t="s">
        <v>1348</v>
      </c>
      <c r="E212" s="15" t="s">
        <v>1929</v>
      </c>
      <c r="F212" s="15" t="s">
        <v>1874</v>
      </c>
      <c r="G212" t="e">
        <f>VLOOKUP(A212,'ALL Projects'!$A$2:$E$513,2,0)</f>
        <v>#N/A</v>
      </c>
    </row>
    <row r="213" spans="1:7">
      <c r="A213" s="16">
        <v>221002000</v>
      </c>
      <c r="B213" s="16" t="s">
        <v>1577</v>
      </c>
      <c r="C213" s="16" t="s">
        <v>1578</v>
      </c>
      <c r="D213" s="15" t="s">
        <v>1348</v>
      </c>
      <c r="E213" s="15" t="s">
        <v>1929</v>
      </c>
      <c r="F213" s="15" t="s">
        <v>1874</v>
      </c>
      <c r="G213" t="e">
        <f>VLOOKUP(A213,'ALL Projects'!$A$2:$E$513,2,0)</f>
        <v>#N/A</v>
      </c>
    </row>
    <row r="214" spans="1:7">
      <c r="A214" s="16">
        <v>222000052</v>
      </c>
      <c r="B214" s="16" t="s">
        <v>1746</v>
      </c>
      <c r="C214" s="16" t="s">
        <v>1747</v>
      </c>
      <c r="D214" s="15" t="s">
        <v>1348</v>
      </c>
      <c r="E214" s="15" t="s">
        <v>1929</v>
      </c>
      <c r="F214" s="15" t="s">
        <v>1874</v>
      </c>
      <c r="G214" t="e">
        <f>VLOOKUP(A214,'ALL Projects'!$A$2:$E$513,2,0)</f>
        <v>#N/A</v>
      </c>
    </row>
    <row r="215" spans="1:7">
      <c r="A215" s="16">
        <v>222000057</v>
      </c>
      <c r="B215" s="16" t="s">
        <v>1810</v>
      </c>
      <c r="C215" s="16" t="s">
        <v>1811</v>
      </c>
      <c r="D215" s="15" t="s">
        <v>1348</v>
      </c>
      <c r="E215" s="15" t="s">
        <v>1929</v>
      </c>
      <c r="F215" s="15" t="s">
        <v>1874</v>
      </c>
      <c r="G215" t="e">
        <f>VLOOKUP(A215,'ALL Projects'!$A$2:$E$513,2,0)</f>
        <v>#N/A</v>
      </c>
    </row>
    <row r="216" spans="1:7">
      <c r="A216" s="16">
        <v>221001732</v>
      </c>
      <c r="B216" s="16" t="s">
        <v>1397</v>
      </c>
      <c r="C216" s="16" t="s">
        <v>1398</v>
      </c>
      <c r="D216" s="15" t="s">
        <v>1348</v>
      </c>
      <c r="E216" s="15" t="s">
        <v>1929</v>
      </c>
      <c r="F216" s="15" t="s">
        <v>1874</v>
      </c>
      <c r="G216" t="e">
        <f>VLOOKUP(A216,'ALL Projects'!$A$2:$E$513,2,0)</f>
        <v>#N/A</v>
      </c>
    </row>
    <row r="217" spans="1:7">
      <c r="A217" s="16">
        <v>211002067</v>
      </c>
      <c r="B217" s="16" t="s">
        <v>1939</v>
      </c>
      <c r="C217" s="16" t="s">
        <v>1940</v>
      </c>
      <c r="D217" s="15" t="s">
        <v>1348</v>
      </c>
      <c r="E217" s="15" t="s">
        <v>1929</v>
      </c>
      <c r="F217" s="15" t="s">
        <v>1874</v>
      </c>
      <c r="G217" t="e">
        <f>VLOOKUP(A217,'ALL Projects'!$A$2:$E$513,2,0)</f>
        <v>#N/A</v>
      </c>
    </row>
    <row r="218" spans="1:7">
      <c r="A218" s="16">
        <v>221001586</v>
      </c>
      <c r="B218" s="16" t="s">
        <v>1551</v>
      </c>
      <c r="C218" s="16" t="s">
        <v>1552</v>
      </c>
      <c r="D218" s="15" t="s">
        <v>1348</v>
      </c>
      <c r="E218" s="15" t="s">
        <v>1929</v>
      </c>
      <c r="F218" s="15" t="s">
        <v>1874</v>
      </c>
      <c r="G218" t="e">
        <f>VLOOKUP(A218,'ALL Projects'!$A$2:$E$513,2,0)</f>
        <v>#N/A</v>
      </c>
    </row>
    <row r="219" spans="1:7">
      <c r="A219" s="16">
        <v>221001801</v>
      </c>
      <c r="B219" s="16" t="s">
        <v>1784</v>
      </c>
      <c r="C219" s="16" t="s">
        <v>1785</v>
      </c>
      <c r="D219" s="15" t="s">
        <v>1348</v>
      </c>
      <c r="E219" s="15" t="s">
        <v>1929</v>
      </c>
      <c r="F219" s="15" t="s">
        <v>1874</v>
      </c>
      <c r="G219" t="e">
        <f>VLOOKUP(A219,'ALL Projects'!$A$2:$E$513,2,0)</f>
        <v>#N/A</v>
      </c>
    </row>
    <row r="220" spans="1:7">
      <c r="A220" s="16">
        <v>221001317</v>
      </c>
      <c r="B220" s="16" t="s">
        <v>1728</v>
      </c>
      <c r="C220" s="16" t="s">
        <v>1729</v>
      </c>
      <c r="D220" s="15" t="s">
        <v>1348</v>
      </c>
      <c r="E220" s="15" t="s">
        <v>1929</v>
      </c>
      <c r="F220" s="15" t="s">
        <v>1874</v>
      </c>
      <c r="G220" t="e">
        <f>VLOOKUP(A220,'ALL Projects'!$A$2:$E$513,2,0)</f>
        <v>#N/A</v>
      </c>
    </row>
    <row r="221" spans="1:7">
      <c r="A221" s="16">
        <v>221000931</v>
      </c>
      <c r="B221" s="16" t="s">
        <v>1435</v>
      </c>
      <c r="C221" s="16" t="s">
        <v>1436</v>
      </c>
      <c r="D221" s="15" t="s">
        <v>1348</v>
      </c>
      <c r="E221" s="15" t="s">
        <v>1929</v>
      </c>
      <c r="F221" s="15" t="s">
        <v>1874</v>
      </c>
      <c r="G221" t="e">
        <f>VLOOKUP(A221,'ALL Projects'!$A$2:$E$513,2,0)</f>
        <v>#N/A</v>
      </c>
    </row>
    <row r="222" spans="1:7">
      <c r="A222" s="16">
        <v>221000212</v>
      </c>
      <c r="B222" s="16" t="s">
        <v>1734</v>
      </c>
      <c r="C222" s="16" t="s">
        <v>1735</v>
      </c>
      <c r="D222" s="15" t="s">
        <v>1348</v>
      </c>
      <c r="E222" s="15" t="s">
        <v>1929</v>
      </c>
      <c r="F222" s="15" t="s">
        <v>1874</v>
      </c>
      <c r="G222" t="e">
        <f>VLOOKUP(A222,'ALL Projects'!$A$2:$E$513,2,0)</f>
        <v>#N/A</v>
      </c>
    </row>
    <row r="223" spans="1:7">
      <c r="A223" s="16">
        <v>221000600</v>
      </c>
      <c r="B223" s="16" t="s">
        <v>1359</v>
      </c>
      <c r="C223" s="16" t="s">
        <v>1360</v>
      </c>
      <c r="D223" s="15" t="s">
        <v>1348</v>
      </c>
      <c r="E223" s="15" t="s">
        <v>1929</v>
      </c>
      <c r="F223" s="15" t="s">
        <v>1874</v>
      </c>
      <c r="G223" t="e">
        <f>VLOOKUP(A223,'ALL Projects'!$A$2:$E$513,2,0)</f>
        <v>#N/A</v>
      </c>
    </row>
    <row r="224" spans="1:7">
      <c r="A224" s="16">
        <v>221001909</v>
      </c>
      <c r="B224" s="16" t="s">
        <v>1483</v>
      </c>
      <c r="C224" s="16" t="s">
        <v>1484</v>
      </c>
      <c r="D224" s="15" t="s">
        <v>1348</v>
      </c>
      <c r="E224" s="15" t="s">
        <v>1929</v>
      </c>
      <c r="F224" s="15" t="s">
        <v>1874</v>
      </c>
      <c r="G224" t="e">
        <f>VLOOKUP(A224,'ALL Projects'!$A$2:$E$513,2,0)</f>
        <v>#N/A</v>
      </c>
    </row>
    <row r="225" spans="1:7">
      <c r="A225" s="16">
        <v>222000064</v>
      </c>
      <c r="B225" s="16" t="s">
        <v>1704</v>
      </c>
      <c r="C225" s="16" t="s">
        <v>1705</v>
      </c>
      <c r="D225" s="15" t="s">
        <v>1348</v>
      </c>
      <c r="E225" s="15" t="s">
        <v>1929</v>
      </c>
      <c r="F225" s="15" t="s">
        <v>1874</v>
      </c>
      <c r="G225" t="e">
        <f>VLOOKUP(A225,'ALL Projects'!$A$2:$E$513,2,0)</f>
        <v>#N/A</v>
      </c>
    </row>
    <row r="226" spans="1:7">
      <c r="A226" s="16">
        <v>221000268</v>
      </c>
      <c r="B226" s="16" t="s">
        <v>1675</v>
      </c>
      <c r="C226" s="16" t="s">
        <v>1676</v>
      </c>
      <c r="D226" s="15" t="s">
        <v>1348</v>
      </c>
      <c r="E226" s="15" t="s">
        <v>1929</v>
      </c>
      <c r="F226" s="15" t="s">
        <v>1874</v>
      </c>
      <c r="G226" t="e">
        <f>VLOOKUP(A226,'ALL Projects'!$A$2:$E$513,2,0)</f>
        <v>#N/A</v>
      </c>
    </row>
    <row r="227" spans="1:7">
      <c r="A227" s="16">
        <v>221002212</v>
      </c>
      <c r="B227" s="16" t="s">
        <v>1758</v>
      </c>
      <c r="C227" s="16" t="s">
        <v>1759</v>
      </c>
      <c r="D227" s="15" t="s">
        <v>1348</v>
      </c>
      <c r="E227" s="15" t="s">
        <v>1929</v>
      </c>
      <c r="F227" s="15" t="s">
        <v>1874</v>
      </c>
      <c r="G227" t="e">
        <f>VLOOKUP(A227,'ALL Projects'!$A$2:$E$513,2,0)</f>
        <v>#N/A</v>
      </c>
    </row>
    <row r="228" spans="1:7">
      <c r="A228" s="16">
        <v>221001837</v>
      </c>
      <c r="B228" s="16" t="s">
        <v>1864</v>
      </c>
      <c r="C228" s="16" t="s">
        <v>1865</v>
      </c>
      <c r="D228" s="15" t="s">
        <v>1348</v>
      </c>
      <c r="E228" s="15" t="s">
        <v>1929</v>
      </c>
      <c r="F228" s="15" t="s">
        <v>1874</v>
      </c>
      <c r="G228" t="e">
        <f>VLOOKUP(A228,'ALL Projects'!$A$2:$E$513,2,0)</f>
        <v>#N/A</v>
      </c>
    </row>
    <row r="229" spans="1:7">
      <c r="A229" s="16">
        <v>221001705</v>
      </c>
      <c r="B229" s="16" t="s">
        <v>1463</v>
      </c>
      <c r="C229" s="16" t="s">
        <v>1464</v>
      </c>
      <c r="D229" s="15" t="s">
        <v>1348</v>
      </c>
      <c r="E229" s="15" t="s">
        <v>1929</v>
      </c>
      <c r="F229" s="15" t="s">
        <v>1874</v>
      </c>
      <c r="G229" t="e">
        <f>VLOOKUP(A229,'ALL Projects'!$A$2:$E$513,2,0)</f>
        <v>#N/A</v>
      </c>
    </row>
    <row r="230" spans="1:7">
      <c r="A230" s="16">
        <v>221000991</v>
      </c>
      <c r="B230" s="16" t="s">
        <v>1381</v>
      </c>
      <c r="C230" s="16" t="s">
        <v>1382</v>
      </c>
      <c r="D230" s="15" t="s">
        <v>1348</v>
      </c>
      <c r="E230" s="15" t="s">
        <v>1929</v>
      </c>
      <c r="F230" s="15" t="s">
        <v>1874</v>
      </c>
      <c r="G230" t="e">
        <f>VLOOKUP(A230,'ALL Projects'!$A$2:$E$513,2,0)</f>
        <v>#N/A</v>
      </c>
    </row>
    <row r="231" spans="1:7">
      <c r="A231" s="16">
        <v>221001268</v>
      </c>
      <c r="B231" s="16" t="s">
        <v>1385</v>
      </c>
      <c r="C231" s="16" t="s">
        <v>1386</v>
      </c>
      <c r="D231" s="15" t="s">
        <v>1348</v>
      </c>
      <c r="E231" s="15" t="s">
        <v>1929</v>
      </c>
      <c r="F231" s="15" t="s">
        <v>1874</v>
      </c>
      <c r="G231" t="e">
        <f>VLOOKUP(A231,'ALL Projects'!$A$2:$E$513,2,0)</f>
        <v>#N/A</v>
      </c>
    </row>
    <row r="232" spans="1:7">
      <c r="A232" s="16">
        <v>211001298</v>
      </c>
      <c r="B232" s="16" t="s">
        <v>1195</v>
      </c>
      <c r="C232" s="16" t="s">
        <v>1196</v>
      </c>
      <c r="D232" s="15" t="s">
        <v>1348</v>
      </c>
      <c r="E232" s="15" t="s">
        <v>1929</v>
      </c>
      <c r="F232" s="15" t="s">
        <v>1874</v>
      </c>
      <c r="G232" t="e">
        <f>VLOOKUP(A232,'ALL Projects'!$A$2:$E$513,2,0)</f>
        <v>#N/A</v>
      </c>
    </row>
    <row r="233" spans="1:7">
      <c r="A233" s="16">
        <v>211001922</v>
      </c>
      <c r="B233" s="16" t="s">
        <v>1513</v>
      </c>
      <c r="C233" s="16" t="s">
        <v>1514</v>
      </c>
      <c r="D233" s="15" t="s">
        <v>1348</v>
      </c>
      <c r="E233" s="15" t="s">
        <v>1929</v>
      </c>
      <c r="F233" s="15" t="s">
        <v>1874</v>
      </c>
      <c r="G233" t="e">
        <f>VLOOKUP(A233,'ALL Projects'!$A$2:$E$513,2,0)</f>
        <v>#N/A</v>
      </c>
    </row>
    <row r="234" spans="1:7">
      <c r="A234" s="16">
        <v>221000741</v>
      </c>
      <c r="B234" s="16" t="s">
        <v>1503</v>
      </c>
      <c r="C234" s="16" t="s">
        <v>1504</v>
      </c>
      <c r="D234" s="15" t="s">
        <v>1348</v>
      </c>
      <c r="E234" s="15" t="s">
        <v>1929</v>
      </c>
      <c r="F234" s="15" t="s">
        <v>1874</v>
      </c>
      <c r="G234" t="e">
        <f>VLOOKUP(A234,'ALL Projects'!$A$2:$E$513,2,0)</f>
        <v>#N/A</v>
      </c>
    </row>
    <row r="235" spans="1:7">
      <c r="A235" s="16">
        <v>221001891</v>
      </c>
      <c r="B235" s="16" t="s">
        <v>1768</v>
      </c>
      <c r="C235" s="16" t="s">
        <v>1769</v>
      </c>
      <c r="D235" s="15" t="s">
        <v>1348</v>
      </c>
      <c r="E235" s="15" t="s">
        <v>1929</v>
      </c>
      <c r="F235" s="15" t="s">
        <v>1874</v>
      </c>
      <c r="G235" t="e">
        <f>VLOOKUP(A235,'ALL Projects'!$A$2:$E$513,2,0)</f>
        <v>#N/A</v>
      </c>
    </row>
    <row r="236" spans="1:7">
      <c r="A236" s="16">
        <v>221001856</v>
      </c>
      <c r="B236" s="16" t="s">
        <v>1866</v>
      </c>
      <c r="C236" s="16" t="s">
        <v>1867</v>
      </c>
      <c r="D236" s="15" t="s">
        <v>1348</v>
      </c>
      <c r="E236" s="15" t="s">
        <v>1929</v>
      </c>
      <c r="F236" s="15" t="s">
        <v>1874</v>
      </c>
      <c r="G236" t="e">
        <f>VLOOKUP(A236,'ALL Projects'!$A$2:$E$513,2,0)</f>
        <v>#N/A</v>
      </c>
    </row>
    <row r="237" spans="1:7">
      <c r="A237" s="16">
        <v>221001496</v>
      </c>
      <c r="B237" s="16" t="s">
        <v>1844</v>
      </c>
      <c r="C237" s="16" t="s">
        <v>1845</v>
      </c>
      <c r="D237" s="15" t="s">
        <v>1348</v>
      </c>
      <c r="E237" s="15" t="s">
        <v>1929</v>
      </c>
      <c r="F237" s="15" t="s">
        <v>1874</v>
      </c>
      <c r="G237" t="e">
        <f>VLOOKUP(A237,'ALL Projects'!$A$2:$E$513,2,0)</f>
        <v>#N/A</v>
      </c>
    </row>
    <row r="238" spans="1:7">
      <c r="A238" s="16">
        <v>221001519</v>
      </c>
      <c r="B238" s="16" t="s">
        <v>1453</v>
      </c>
      <c r="C238" s="16" t="s">
        <v>1454</v>
      </c>
      <c r="D238" s="15" t="s">
        <v>1348</v>
      </c>
      <c r="E238" s="15" t="s">
        <v>1929</v>
      </c>
      <c r="F238" s="15" t="s">
        <v>1874</v>
      </c>
      <c r="G238" t="e">
        <f>VLOOKUP(A238,'ALL Projects'!$A$2:$E$513,2,0)</f>
        <v>#N/A</v>
      </c>
    </row>
    <row r="239" spans="1:7">
      <c r="A239" s="16">
        <v>221001693</v>
      </c>
      <c r="B239" s="16" t="s">
        <v>1627</v>
      </c>
      <c r="C239" s="16" t="s">
        <v>1628</v>
      </c>
      <c r="D239" s="15" t="s">
        <v>1348</v>
      </c>
      <c r="E239" s="15" t="s">
        <v>1929</v>
      </c>
      <c r="F239" s="15" t="s">
        <v>1874</v>
      </c>
      <c r="G239" t="e">
        <f>VLOOKUP(A239,'ALL Projects'!$A$2:$E$513,2,0)</f>
        <v>#N/A</v>
      </c>
    </row>
    <row r="240" spans="1:7">
      <c r="A240" s="16">
        <v>221000089</v>
      </c>
      <c r="B240" s="16" t="s">
        <v>1523</v>
      </c>
      <c r="C240" s="16" t="s">
        <v>1524</v>
      </c>
      <c r="D240" s="15" t="s">
        <v>1348</v>
      </c>
      <c r="E240" s="15" t="s">
        <v>1929</v>
      </c>
      <c r="F240" s="15" t="s">
        <v>1874</v>
      </c>
      <c r="G240" t="e">
        <f>VLOOKUP(A240,'ALL Projects'!$A$2:$E$513,2,0)</f>
        <v>#N/A</v>
      </c>
    </row>
    <row r="241" spans="1:7">
      <c r="A241" s="16">
        <v>211002004</v>
      </c>
      <c r="B241" s="16" t="s">
        <v>1840</v>
      </c>
      <c r="C241" s="16" t="s">
        <v>1841</v>
      </c>
      <c r="D241" s="15" t="s">
        <v>1348</v>
      </c>
      <c r="E241" s="15" t="s">
        <v>1929</v>
      </c>
      <c r="F241" s="15" t="s">
        <v>1874</v>
      </c>
      <c r="G241" t="e">
        <f>VLOOKUP(A241,'ALL Projects'!$A$2:$E$513,2,0)</f>
        <v>#N/A</v>
      </c>
    </row>
    <row r="242" spans="1:7">
      <c r="A242" s="16">
        <v>221001609</v>
      </c>
      <c r="B242" s="16" t="s">
        <v>1553</v>
      </c>
      <c r="C242" s="16" t="s">
        <v>1554</v>
      </c>
      <c r="D242" s="15" t="s">
        <v>1348</v>
      </c>
      <c r="E242" s="15" t="s">
        <v>1929</v>
      </c>
      <c r="F242" s="15" t="s">
        <v>1874</v>
      </c>
      <c r="G242" t="e">
        <f>VLOOKUP(A242,'ALL Projects'!$A$2:$E$513,2,0)</f>
        <v>#N/A</v>
      </c>
    </row>
    <row r="243" spans="1:7">
      <c r="A243" s="16">
        <v>221000101</v>
      </c>
      <c r="B243" s="16" t="s">
        <v>1732</v>
      </c>
      <c r="C243" s="16" t="s">
        <v>1733</v>
      </c>
      <c r="D243" s="15" t="s">
        <v>1348</v>
      </c>
      <c r="E243" s="15" t="s">
        <v>1929</v>
      </c>
      <c r="F243" s="15" t="s">
        <v>1874</v>
      </c>
      <c r="G243" t="e">
        <f>VLOOKUP(A243,'ALL Projects'!$A$2:$E$513,2,0)</f>
        <v>#N/A</v>
      </c>
    </row>
    <row r="244" spans="1:7">
      <c r="A244" s="16">
        <v>221001435</v>
      </c>
      <c r="B244" s="16" t="s">
        <v>1822</v>
      </c>
      <c r="C244" s="16" t="s">
        <v>1823</v>
      </c>
      <c r="D244" s="15" t="s">
        <v>1348</v>
      </c>
      <c r="E244" s="15" t="s">
        <v>1929</v>
      </c>
      <c r="F244" s="15" t="s">
        <v>1874</v>
      </c>
      <c r="G244" t="e">
        <f>VLOOKUP(A244,'ALL Projects'!$A$2:$E$513,2,0)</f>
        <v>#N/A</v>
      </c>
    </row>
    <row r="245" spans="1:7">
      <c r="A245" s="16">
        <v>221001161</v>
      </c>
      <c r="B245" s="16" t="s">
        <v>1682</v>
      </c>
      <c r="C245" s="16" t="s">
        <v>1683</v>
      </c>
      <c r="D245" s="15" t="s">
        <v>1348</v>
      </c>
      <c r="E245" s="15" t="s">
        <v>1929</v>
      </c>
      <c r="F245" s="15" t="s">
        <v>1874</v>
      </c>
      <c r="G245" t="e">
        <f>VLOOKUP(A245,'ALL Projects'!$A$2:$E$513,2,0)</f>
        <v>#N/A</v>
      </c>
    </row>
    <row r="246" spans="1:7">
      <c r="A246" s="16">
        <v>221001823</v>
      </c>
      <c r="B246" s="16" t="s">
        <v>1521</v>
      </c>
      <c r="C246" s="16" t="s">
        <v>1522</v>
      </c>
      <c r="D246" s="15" t="s">
        <v>1348</v>
      </c>
      <c r="E246" s="15" t="s">
        <v>1929</v>
      </c>
      <c r="F246" s="15" t="s">
        <v>1874</v>
      </c>
      <c r="G246" t="e">
        <f>VLOOKUP(A246,'ALL Projects'!$A$2:$E$513,2,0)</f>
        <v>#N/A</v>
      </c>
    </row>
    <row r="247" spans="1:7">
      <c r="A247" s="16">
        <v>221001854</v>
      </c>
      <c r="B247" s="16" t="s">
        <v>1633</v>
      </c>
      <c r="C247" s="16" t="s">
        <v>1634</v>
      </c>
      <c r="D247" s="15" t="s">
        <v>1348</v>
      </c>
      <c r="E247" s="15" t="s">
        <v>1929</v>
      </c>
      <c r="F247" s="15" t="s">
        <v>1874</v>
      </c>
      <c r="G247" t="e">
        <f>VLOOKUP(A247,'ALL Projects'!$A$2:$E$513,2,0)</f>
        <v>#N/A</v>
      </c>
    </row>
    <row r="248" spans="1:7">
      <c r="A248" s="16">
        <v>221002083</v>
      </c>
      <c r="B248" s="16" t="s">
        <v>1493</v>
      </c>
      <c r="C248" s="16" t="s">
        <v>1494</v>
      </c>
      <c r="D248" s="15" t="s">
        <v>1348</v>
      </c>
      <c r="E248" s="15" t="s">
        <v>1929</v>
      </c>
      <c r="F248" s="15" t="s">
        <v>1874</v>
      </c>
      <c r="G248" t="e">
        <f>VLOOKUP(A248,'ALL Projects'!$A$2:$E$513,2,0)</f>
        <v>#N/A</v>
      </c>
    </row>
    <row r="249" spans="1:7">
      <c r="A249" s="16">
        <v>221001919</v>
      </c>
      <c r="B249" s="16" t="s">
        <v>1489</v>
      </c>
      <c r="C249" s="16" t="s">
        <v>1490</v>
      </c>
      <c r="D249" s="15" t="s">
        <v>1348</v>
      </c>
      <c r="E249" s="15" t="s">
        <v>1929</v>
      </c>
      <c r="F249" s="15" t="s">
        <v>1874</v>
      </c>
      <c r="G249" t="e">
        <f>VLOOKUP(A249,'ALL Projects'!$A$2:$E$513,2,0)</f>
        <v>#N/A</v>
      </c>
    </row>
    <row r="250" spans="1:7">
      <c r="A250" s="16">
        <v>221000663</v>
      </c>
      <c r="B250" s="16" t="s">
        <v>1391</v>
      </c>
      <c r="C250" s="16" t="s">
        <v>1392</v>
      </c>
      <c r="D250" s="15" t="s">
        <v>1348</v>
      </c>
      <c r="E250" s="15" t="s">
        <v>1929</v>
      </c>
      <c r="F250" s="15" t="s">
        <v>1874</v>
      </c>
      <c r="G250" t="e">
        <f>VLOOKUP(A250,'ALL Projects'!$A$2:$E$513,2,0)</f>
        <v>#N/A</v>
      </c>
    </row>
    <row r="251" spans="1:7">
      <c r="A251" s="16">
        <v>221001026</v>
      </c>
      <c r="B251" s="16" t="s">
        <v>1856</v>
      </c>
      <c r="C251" s="16" t="s">
        <v>1857</v>
      </c>
      <c r="D251" s="15" t="s">
        <v>1348</v>
      </c>
      <c r="E251" s="15" t="s">
        <v>1929</v>
      </c>
      <c r="F251" s="15" t="s">
        <v>1874</v>
      </c>
      <c r="G251" t="e">
        <f>VLOOKUP(A251,'ALL Projects'!$A$2:$E$513,2,0)</f>
        <v>#N/A</v>
      </c>
    </row>
    <row r="252" spans="1:7">
      <c r="A252" s="16">
        <v>221001139</v>
      </c>
      <c r="B252" s="16" t="s">
        <v>1507</v>
      </c>
      <c r="C252" s="16" t="s">
        <v>1508</v>
      </c>
      <c r="D252" s="15" t="s">
        <v>1348</v>
      </c>
      <c r="E252" s="15" t="s">
        <v>1929</v>
      </c>
      <c r="F252" s="15" t="s">
        <v>1874</v>
      </c>
      <c r="G252" t="e">
        <f>VLOOKUP(A252,'ALL Projects'!$A$2:$E$513,2,0)</f>
        <v>#N/A</v>
      </c>
    </row>
    <row r="253" spans="1:7">
      <c r="A253" s="16">
        <v>221000415</v>
      </c>
      <c r="B253" s="16" t="s">
        <v>1515</v>
      </c>
      <c r="C253" s="16" t="s">
        <v>1516</v>
      </c>
      <c r="D253" s="15" t="s">
        <v>1348</v>
      </c>
      <c r="E253" s="15" t="s">
        <v>1929</v>
      </c>
      <c r="F253" s="15" t="s">
        <v>1874</v>
      </c>
      <c r="G253" t="e">
        <f>VLOOKUP(A253,'ALL Projects'!$A$2:$E$513,2,0)</f>
        <v>#N/A</v>
      </c>
    </row>
    <row r="254" spans="1:7">
      <c r="A254" s="16">
        <v>221000010</v>
      </c>
      <c r="B254" s="16" t="s">
        <v>1941</v>
      </c>
      <c r="C254" s="16" t="s">
        <v>1942</v>
      </c>
      <c r="D254" s="15" t="s">
        <v>1348</v>
      </c>
      <c r="E254" s="15" t="s">
        <v>1929</v>
      </c>
      <c r="F254" s="15" t="s">
        <v>1874</v>
      </c>
      <c r="G254" t="e">
        <f>VLOOKUP(A254,'ALL Projects'!$A$2:$E$513,2,0)</f>
        <v>#N/A</v>
      </c>
    </row>
    <row r="255" spans="1:7">
      <c r="A255" s="16">
        <v>221001602</v>
      </c>
      <c r="B255" s="16" t="s">
        <v>1688</v>
      </c>
      <c r="C255" s="16" t="s">
        <v>1689</v>
      </c>
      <c r="D255" s="15" t="s">
        <v>1348</v>
      </c>
      <c r="E255" s="15" t="s">
        <v>1929</v>
      </c>
      <c r="F255" s="15" t="s">
        <v>1874</v>
      </c>
      <c r="G255" t="e">
        <f>VLOOKUP(A255,'ALL Projects'!$A$2:$E$513,2,0)</f>
        <v>#N/A</v>
      </c>
    </row>
    <row r="256" spans="1:7">
      <c r="A256" s="16">
        <v>221002165</v>
      </c>
      <c r="B256" s="16" t="s">
        <v>1665</v>
      </c>
      <c r="C256" s="16" t="s">
        <v>1666</v>
      </c>
      <c r="D256" s="15" t="s">
        <v>1348</v>
      </c>
      <c r="E256" s="15" t="s">
        <v>1929</v>
      </c>
      <c r="F256" s="15" t="s">
        <v>1874</v>
      </c>
      <c r="G256" t="e">
        <f>VLOOKUP(A256,'ALL Projects'!$A$2:$E$513,2,0)</f>
        <v>#N/A</v>
      </c>
    </row>
    <row r="257" spans="1:7">
      <c r="A257" s="16">
        <v>221001207</v>
      </c>
      <c r="B257" s="16" t="s">
        <v>1943</v>
      </c>
      <c r="C257" s="16" t="s">
        <v>1944</v>
      </c>
      <c r="D257" s="15" t="s">
        <v>1348</v>
      </c>
      <c r="E257" s="15" t="s">
        <v>1929</v>
      </c>
      <c r="F257" s="15" t="s">
        <v>1874</v>
      </c>
      <c r="G257" t="e">
        <f>VLOOKUP(A257,'ALL Projects'!$A$2:$E$513,2,0)</f>
        <v>#N/A</v>
      </c>
    </row>
    <row r="258" spans="1:7">
      <c r="A258" s="16">
        <v>221000418</v>
      </c>
      <c r="B258" s="16" t="s">
        <v>1527</v>
      </c>
      <c r="C258" s="16" t="s">
        <v>1528</v>
      </c>
      <c r="D258" s="15" t="s">
        <v>1348</v>
      </c>
      <c r="E258" s="15" t="s">
        <v>1929</v>
      </c>
      <c r="F258" s="15" t="s">
        <v>1874</v>
      </c>
      <c r="G258" t="e">
        <f>VLOOKUP(A258,'ALL Projects'!$A$2:$E$513,2,0)</f>
        <v>#N/A</v>
      </c>
    </row>
    <row r="259" spans="1:7">
      <c r="A259" s="16">
        <v>221000995</v>
      </c>
      <c r="B259" s="16" t="s">
        <v>1667</v>
      </c>
      <c r="C259" s="16" t="s">
        <v>1668</v>
      </c>
      <c r="D259" s="15" t="s">
        <v>1348</v>
      </c>
      <c r="E259" s="15" t="s">
        <v>1929</v>
      </c>
      <c r="F259" s="15" t="s">
        <v>1874</v>
      </c>
      <c r="G259" t="e">
        <f>VLOOKUP(A259,'ALL Projects'!$A$2:$E$513,2,0)</f>
        <v>#N/A</v>
      </c>
    </row>
    <row r="260" spans="1:7">
      <c r="A260" s="16">
        <v>221000362</v>
      </c>
      <c r="B260" s="16" t="s">
        <v>1413</v>
      </c>
      <c r="C260" s="16" t="s">
        <v>1414</v>
      </c>
      <c r="D260" s="15" t="s">
        <v>1348</v>
      </c>
      <c r="E260" s="15" t="s">
        <v>1929</v>
      </c>
      <c r="F260" s="15" t="s">
        <v>1874</v>
      </c>
      <c r="G260" t="e">
        <f>VLOOKUP(A260,'ALL Projects'!$A$2:$E$513,2,0)</f>
        <v>#N/A</v>
      </c>
    </row>
    <row r="261" spans="1:7">
      <c r="A261" s="16">
        <v>221000829</v>
      </c>
      <c r="B261" s="16" t="s">
        <v>1429</v>
      </c>
      <c r="C261" s="16" t="s">
        <v>1430</v>
      </c>
      <c r="D261" s="15" t="s">
        <v>1348</v>
      </c>
      <c r="E261" s="15" t="s">
        <v>1929</v>
      </c>
      <c r="F261" s="15" t="s">
        <v>1874</v>
      </c>
      <c r="G261" t="e">
        <f>VLOOKUP(A261,'ALL Projects'!$A$2:$E$513,2,0)</f>
        <v>#N/A</v>
      </c>
    </row>
    <row r="262" spans="1:7">
      <c r="A262" s="16">
        <v>221001796</v>
      </c>
      <c r="B262" s="16" t="s">
        <v>1471</v>
      </c>
      <c r="C262" s="16" t="s">
        <v>1472</v>
      </c>
      <c r="D262" s="15" t="s">
        <v>1348</v>
      </c>
      <c r="E262" s="15" t="s">
        <v>1929</v>
      </c>
      <c r="F262" s="15" t="s">
        <v>1874</v>
      </c>
      <c r="G262" t="e">
        <f>VLOOKUP(A262,'ALL Projects'!$A$2:$E$513,2,0)</f>
        <v>#N/A</v>
      </c>
    </row>
    <row r="263" spans="1:7">
      <c r="A263" s="16">
        <v>221000015</v>
      </c>
      <c r="B263" s="16" t="s">
        <v>1497</v>
      </c>
      <c r="C263" s="16" t="s">
        <v>1498</v>
      </c>
      <c r="D263" s="15" t="s">
        <v>1348</v>
      </c>
      <c r="E263" s="15" t="s">
        <v>1929</v>
      </c>
      <c r="F263" s="15" t="s">
        <v>1874</v>
      </c>
      <c r="G263" t="e">
        <f>VLOOKUP(A263,'ALL Projects'!$A$2:$E$513,2,0)</f>
        <v>#N/A</v>
      </c>
    </row>
    <row r="264" spans="1:7">
      <c r="A264" s="16">
        <v>221001458</v>
      </c>
      <c r="B264" s="16" t="s">
        <v>1549</v>
      </c>
      <c r="C264" s="16" t="s">
        <v>1550</v>
      </c>
      <c r="D264" s="15" t="s">
        <v>1348</v>
      </c>
      <c r="E264" s="15" t="s">
        <v>1929</v>
      </c>
      <c r="F264" s="15" t="s">
        <v>1874</v>
      </c>
      <c r="G264" t="e">
        <f>VLOOKUP(A264,'ALL Projects'!$A$2:$E$513,2,0)</f>
        <v>#N/A</v>
      </c>
    </row>
    <row r="265" spans="1:7">
      <c r="A265" s="16">
        <v>221000807</v>
      </c>
      <c r="B265" s="16" t="s">
        <v>1651</v>
      </c>
      <c r="C265" s="16" t="s">
        <v>1652</v>
      </c>
      <c r="D265" s="15" t="s">
        <v>1348</v>
      </c>
      <c r="E265" s="15" t="s">
        <v>1929</v>
      </c>
      <c r="F265" s="15" t="s">
        <v>1874</v>
      </c>
      <c r="G265" t="e">
        <f>VLOOKUP(A265,'ALL Projects'!$A$2:$E$513,2,0)</f>
        <v>#N/A</v>
      </c>
    </row>
    <row r="266" spans="1:7">
      <c r="A266" s="16">
        <v>221000767</v>
      </c>
      <c r="B266" s="16" t="s">
        <v>1427</v>
      </c>
      <c r="C266" s="16" t="s">
        <v>1428</v>
      </c>
      <c r="D266" s="15" t="s">
        <v>1348</v>
      </c>
      <c r="E266" s="15" t="s">
        <v>1929</v>
      </c>
      <c r="F266" s="15" t="s">
        <v>1874</v>
      </c>
      <c r="G266" t="e">
        <f>VLOOKUP(A266,'ALL Projects'!$A$2:$E$513,2,0)</f>
        <v>#N/A</v>
      </c>
    </row>
    <row r="267" spans="1:7" ht="28.15">
      <c r="A267" s="16">
        <v>221001028</v>
      </c>
      <c r="B267" s="16" t="s">
        <v>1441</v>
      </c>
      <c r="C267" s="16" t="s">
        <v>1442</v>
      </c>
      <c r="D267" s="15" t="s">
        <v>1348</v>
      </c>
      <c r="E267" s="15" t="s">
        <v>1929</v>
      </c>
      <c r="F267" s="15" t="s">
        <v>1874</v>
      </c>
      <c r="G267" t="e">
        <f>VLOOKUP(A267,'ALL Projects'!$A$2:$E$513,2,0)</f>
        <v>#N/A</v>
      </c>
    </row>
    <row r="268" spans="1:7">
      <c r="A268" s="16">
        <v>221000998</v>
      </c>
      <c r="B268" s="16" t="s">
        <v>1619</v>
      </c>
      <c r="C268" s="16" t="s">
        <v>1620</v>
      </c>
      <c r="D268" s="15" t="s">
        <v>1348</v>
      </c>
      <c r="E268" s="15" t="s">
        <v>1929</v>
      </c>
      <c r="F268" s="15" t="s">
        <v>1874</v>
      </c>
      <c r="G268" t="e">
        <f>VLOOKUP(A268,'ALL Projects'!$A$2:$E$513,2,0)</f>
        <v>#N/A</v>
      </c>
    </row>
    <row r="269" spans="1:7">
      <c r="A269" s="16">
        <v>221000682</v>
      </c>
      <c r="B269" s="16" t="s">
        <v>1649</v>
      </c>
      <c r="C269" s="16" t="s">
        <v>1650</v>
      </c>
      <c r="D269" s="15" t="s">
        <v>1348</v>
      </c>
      <c r="E269" s="15" t="s">
        <v>1929</v>
      </c>
      <c r="F269" s="15" t="s">
        <v>1874</v>
      </c>
      <c r="G269" t="e">
        <f>VLOOKUP(A269,'ALL Projects'!$A$2:$E$513,2,0)</f>
        <v>#N/A</v>
      </c>
    </row>
    <row r="270" spans="1:7">
      <c r="A270" s="16">
        <v>221000608</v>
      </c>
      <c r="B270" s="16" t="s">
        <v>1501</v>
      </c>
      <c r="C270" s="16" t="s">
        <v>1502</v>
      </c>
      <c r="D270" s="15" t="s">
        <v>1348</v>
      </c>
      <c r="E270" s="15" t="s">
        <v>1929</v>
      </c>
      <c r="F270" s="15" t="s">
        <v>1874</v>
      </c>
      <c r="G270" t="e">
        <f>VLOOKUP(A270,'ALL Projects'!$A$2:$E$513,2,0)</f>
        <v>#N/A</v>
      </c>
    </row>
    <row r="271" spans="1:7">
      <c r="A271" s="16">
        <v>221000090</v>
      </c>
      <c r="B271" s="16" t="s">
        <v>1367</v>
      </c>
      <c r="C271" s="16" t="s">
        <v>1368</v>
      </c>
      <c r="D271" s="15" t="s">
        <v>1348</v>
      </c>
      <c r="E271" s="15" t="s">
        <v>1929</v>
      </c>
      <c r="F271" s="15" t="s">
        <v>1874</v>
      </c>
      <c r="G271" t="e">
        <f>VLOOKUP(A271,'ALL Projects'!$A$2:$E$513,2,0)</f>
        <v>#N/A</v>
      </c>
    </row>
    <row r="272" spans="1:7">
      <c r="A272" s="16">
        <v>221001405</v>
      </c>
      <c r="B272" s="16" t="s">
        <v>1820</v>
      </c>
      <c r="C272" s="16" t="s">
        <v>1821</v>
      </c>
      <c r="D272" s="15" t="s">
        <v>1348</v>
      </c>
      <c r="E272" s="15" t="s">
        <v>1929</v>
      </c>
      <c r="F272" s="15" t="s">
        <v>1874</v>
      </c>
      <c r="G272" t="e">
        <f>VLOOKUP(A272,'ALL Projects'!$A$2:$E$513,2,0)</f>
        <v>#N/A</v>
      </c>
    </row>
    <row r="273" spans="1:7">
      <c r="A273" s="16">
        <v>202002417</v>
      </c>
      <c r="B273" s="16" t="s">
        <v>1800</v>
      </c>
      <c r="C273" s="16" t="s">
        <v>1801</v>
      </c>
      <c r="D273" s="15" t="s">
        <v>1348</v>
      </c>
      <c r="E273" s="15" t="s">
        <v>1929</v>
      </c>
      <c r="F273" s="15" t="s">
        <v>1874</v>
      </c>
      <c r="G273" t="e">
        <f>VLOOKUP(A273,'ALL Projects'!$A$2:$E$513,2,0)</f>
        <v>#N/A</v>
      </c>
    </row>
    <row r="274" spans="1:7">
      <c r="A274" s="16">
        <v>221000793</v>
      </c>
      <c r="B274" s="16" t="s">
        <v>1533</v>
      </c>
      <c r="C274" s="16" t="s">
        <v>1534</v>
      </c>
      <c r="D274" s="15" t="s">
        <v>1348</v>
      </c>
      <c r="E274" s="15" t="s">
        <v>1929</v>
      </c>
      <c r="F274" s="15" t="s">
        <v>1874</v>
      </c>
      <c r="G274" t="e">
        <f>VLOOKUP(A274,'ALL Projects'!$A$2:$E$513,2,0)</f>
        <v>#N/A</v>
      </c>
    </row>
    <row r="275" spans="1:7">
      <c r="A275" s="16">
        <v>1610400</v>
      </c>
      <c r="B275" s="16" t="s">
        <v>1945</v>
      </c>
      <c r="C275" s="16" t="s">
        <v>1869</v>
      </c>
      <c r="D275" s="15" t="s">
        <v>1348</v>
      </c>
      <c r="E275" s="15" t="s">
        <v>1929</v>
      </c>
      <c r="F275" s="15" t="s">
        <v>1874</v>
      </c>
      <c r="G275" t="e">
        <f>VLOOKUP(A275,'ALL Projects'!$A$2:$E$513,2,0)</f>
        <v>#N/A</v>
      </c>
    </row>
    <row r="276" spans="1:7">
      <c r="A276" s="16">
        <v>222000071</v>
      </c>
      <c r="B276" s="16" t="s">
        <v>1778</v>
      </c>
      <c r="C276" s="16" t="s">
        <v>1779</v>
      </c>
      <c r="D276" s="15" t="s">
        <v>1348</v>
      </c>
      <c r="E276" s="15" t="s">
        <v>1929</v>
      </c>
      <c r="F276" s="15" t="s">
        <v>1874</v>
      </c>
      <c r="G276" t="e">
        <f>VLOOKUP(A276,'ALL Projects'!$A$2:$E$513,2,0)</f>
        <v>#N/A</v>
      </c>
    </row>
    <row r="277" spans="1:7">
      <c r="A277" s="16">
        <v>221000495</v>
      </c>
      <c r="B277" s="16" t="s">
        <v>1415</v>
      </c>
      <c r="C277" s="16" t="s">
        <v>1416</v>
      </c>
      <c r="D277" s="15" t="s">
        <v>1348</v>
      </c>
      <c r="E277" s="15" t="s">
        <v>1929</v>
      </c>
      <c r="F277" s="15" t="s">
        <v>1874</v>
      </c>
      <c r="G277" t="e">
        <f>VLOOKUP(A277,'ALL Projects'!$A$2:$E$513,2,0)</f>
        <v>#N/A</v>
      </c>
    </row>
    <row r="278" spans="1:7">
      <c r="A278" s="16">
        <v>221001073</v>
      </c>
      <c r="B278" s="16" t="s">
        <v>1750</v>
      </c>
      <c r="C278" s="16" t="s">
        <v>1751</v>
      </c>
      <c r="D278" s="15" t="s">
        <v>1348</v>
      </c>
      <c r="E278" s="15" t="s">
        <v>1929</v>
      </c>
      <c r="F278" s="15" t="s">
        <v>1874</v>
      </c>
      <c r="G278" t="e">
        <f>VLOOKUP(A278,'ALL Projects'!$A$2:$E$513,2,0)</f>
        <v>#N/A</v>
      </c>
    </row>
    <row r="279" spans="1:7">
      <c r="A279" s="16">
        <v>221000718</v>
      </c>
      <c r="B279" s="16" t="s">
        <v>1617</v>
      </c>
      <c r="C279" s="16" t="s">
        <v>1618</v>
      </c>
      <c r="D279" s="15" t="s">
        <v>1348</v>
      </c>
      <c r="E279" s="15" t="s">
        <v>1929</v>
      </c>
      <c r="F279" s="15" t="s">
        <v>1874</v>
      </c>
      <c r="G279" t="e">
        <f>VLOOKUP(A279,'ALL Projects'!$A$2:$E$513,2,0)</f>
        <v>#N/A</v>
      </c>
    </row>
    <row r="280" spans="1:7">
      <c r="A280" s="16">
        <v>221001759</v>
      </c>
      <c r="B280" s="16" t="s">
        <v>1629</v>
      </c>
      <c r="C280" s="16" t="s">
        <v>1630</v>
      </c>
      <c r="D280" s="15" t="s">
        <v>1348</v>
      </c>
      <c r="E280" s="15" t="s">
        <v>1929</v>
      </c>
      <c r="F280" s="15" t="s">
        <v>1874</v>
      </c>
      <c r="G280" t="e">
        <f>VLOOKUP(A280,'ALL Projects'!$A$2:$E$513,2,0)</f>
        <v>#N/A</v>
      </c>
    </row>
    <row r="281" spans="1:7">
      <c r="A281" s="16">
        <v>221000404</v>
      </c>
      <c r="B281" s="16" t="s">
        <v>1790</v>
      </c>
      <c r="C281" s="16" t="s">
        <v>1791</v>
      </c>
      <c r="D281" s="15" t="s">
        <v>1348</v>
      </c>
      <c r="E281" s="15" t="s">
        <v>1929</v>
      </c>
      <c r="F281" s="15" t="s">
        <v>1874</v>
      </c>
      <c r="G281" t="e">
        <f>VLOOKUP(A281,'ALL Projects'!$A$2:$E$513,2,0)</f>
        <v>#N/A</v>
      </c>
    </row>
    <row r="282" spans="1:7">
      <c r="A282" s="16">
        <v>222000092</v>
      </c>
      <c r="B282" s="16" t="s">
        <v>1826</v>
      </c>
      <c r="C282" s="16" t="s">
        <v>1827</v>
      </c>
      <c r="D282" s="15" t="s">
        <v>1348</v>
      </c>
      <c r="E282" s="15" t="s">
        <v>1929</v>
      </c>
      <c r="F282" s="15" t="s">
        <v>1874</v>
      </c>
      <c r="G282" t="e">
        <f>VLOOKUP(A282,'ALL Projects'!$A$2:$E$513,2,0)</f>
        <v>#N/A</v>
      </c>
    </row>
    <row r="283" spans="1:7">
      <c r="A283" s="16">
        <v>221000674</v>
      </c>
      <c r="B283" s="16" t="s">
        <v>1423</v>
      </c>
      <c r="C283" s="16" t="s">
        <v>1424</v>
      </c>
      <c r="D283" s="15" t="s">
        <v>1348</v>
      </c>
      <c r="E283" s="15" t="s">
        <v>1929</v>
      </c>
      <c r="F283" s="15" t="s">
        <v>1874</v>
      </c>
      <c r="G283" t="e">
        <f>VLOOKUP(A283,'ALL Projects'!$A$2:$E$513,2,0)</f>
        <v>#N/A</v>
      </c>
    </row>
    <row r="284" spans="1:7">
      <c r="A284" s="16">
        <v>221001344</v>
      </c>
      <c r="B284" s="16" t="s">
        <v>1583</v>
      </c>
      <c r="C284" s="16" t="s">
        <v>1584</v>
      </c>
      <c r="D284" s="15" t="s">
        <v>1348</v>
      </c>
      <c r="E284" s="15" t="s">
        <v>1929</v>
      </c>
      <c r="F284" s="15" t="s">
        <v>1874</v>
      </c>
      <c r="G284" t="e">
        <f>VLOOKUP(A284,'ALL Projects'!$A$2:$E$513,2,0)</f>
        <v>#N/A</v>
      </c>
    </row>
    <row r="285" spans="1:7">
      <c r="A285" s="16">
        <v>221001714</v>
      </c>
      <c r="B285" s="16" t="s">
        <v>1467</v>
      </c>
      <c r="C285" s="16" t="s">
        <v>1468</v>
      </c>
      <c r="D285" s="15" t="s">
        <v>1348</v>
      </c>
      <c r="E285" s="15" t="s">
        <v>1929</v>
      </c>
      <c r="F285" s="15" t="s">
        <v>1874</v>
      </c>
      <c r="G285" t="e">
        <f>VLOOKUP(A285,'ALL Projects'!$A$2:$E$513,2,0)</f>
        <v>#N/A</v>
      </c>
    </row>
    <row r="286" spans="1:7">
      <c r="A286" s="16">
        <v>221000738</v>
      </c>
      <c r="B286" s="16" t="s">
        <v>1425</v>
      </c>
      <c r="C286" s="16" t="s">
        <v>1426</v>
      </c>
      <c r="D286" s="15" t="s">
        <v>1348</v>
      </c>
      <c r="E286" s="15" t="s">
        <v>1929</v>
      </c>
      <c r="F286" s="15" t="s">
        <v>1874</v>
      </c>
      <c r="G286" t="e">
        <f>VLOOKUP(A286,'ALL Projects'!$A$2:$E$513,2,0)</f>
        <v>#N/A</v>
      </c>
    </row>
    <row r="287" spans="1:7">
      <c r="A287" s="16">
        <v>221000842</v>
      </c>
      <c r="B287" s="16" t="s">
        <v>1537</v>
      </c>
      <c r="C287" s="16" t="s">
        <v>1538</v>
      </c>
      <c r="D287" s="15" t="s">
        <v>1348</v>
      </c>
      <c r="E287" s="15" t="s">
        <v>1929</v>
      </c>
      <c r="F287" s="15" t="s">
        <v>1874</v>
      </c>
      <c r="G287" t="e">
        <f>VLOOKUP(A287,'ALL Projects'!$A$2:$E$513,2,0)</f>
        <v>#N/A</v>
      </c>
    </row>
    <row r="288" spans="1:7">
      <c r="A288" s="16">
        <v>221001757</v>
      </c>
      <c r="B288" s="16" t="s">
        <v>1517</v>
      </c>
      <c r="C288" s="16" t="s">
        <v>1518</v>
      </c>
      <c r="D288" s="15" t="s">
        <v>1348</v>
      </c>
      <c r="E288" s="15" t="s">
        <v>1929</v>
      </c>
      <c r="F288" s="15" t="s">
        <v>1874</v>
      </c>
      <c r="G288" t="e">
        <f>VLOOKUP(A288,'ALL Projects'!$A$2:$E$513,2,0)</f>
        <v>#N/A</v>
      </c>
    </row>
    <row r="289" spans="1:7">
      <c r="A289" s="16">
        <v>221001001</v>
      </c>
      <c r="B289" s="16" t="s">
        <v>1816</v>
      </c>
      <c r="C289" s="16" t="s">
        <v>1817</v>
      </c>
      <c r="D289" s="15" t="s">
        <v>1348</v>
      </c>
      <c r="E289" s="15" t="s">
        <v>1929</v>
      </c>
      <c r="F289" s="15" t="s">
        <v>1874</v>
      </c>
      <c r="G289" t="e">
        <f>VLOOKUP(A289,'ALL Projects'!$A$2:$E$513,2,0)</f>
        <v>#N/A</v>
      </c>
    </row>
    <row r="290" spans="1:7">
      <c r="A290" s="16">
        <v>221000579</v>
      </c>
      <c r="B290" s="16" t="s">
        <v>1419</v>
      </c>
      <c r="C290" s="16" t="s">
        <v>1420</v>
      </c>
      <c r="D290" s="15" t="s">
        <v>1348</v>
      </c>
      <c r="E290" s="15" t="s">
        <v>1929</v>
      </c>
      <c r="F290" s="15" t="s">
        <v>1874</v>
      </c>
      <c r="G290" t="e">
        <f>VLOOKUP(A290,'ALL Projects'!$A$2:$E$513,2,0)</f>
        <v>#N/A</v>
      </c>
    </row>
    <row r="291" spans="1:7">
      <c r="A291" s="16">
        <v>221001697</v>
      </c>
      <c r="B291" s="16" t="s">
        <v>1395</v>
      </c>
      <c r="C291" s="16" t="s">
        <v>1396</v>
      </c>
      <c r="D291" s="15" t="s">
        <v>1348</v>
      </c>
      <c r="E291" s="15" t="s">
        <v>1929</v>
      </c>
      <c r="F291" s="15" t="s">
        <v>1874</v>
      </c>
      <c r="G291" t="e">
        <f>VLOOKUP(A291,'ALL Projects'!$A$2:$E$513,2,0)</f>
        <v>#N/A</v>
      </c>
    </row>
    <row r="292" spans="1:7">
      <c r="A292" s="16">
        <v>221001755</v>
      </c>
      <c r="B292" s="16" t="s">
        <v>1692</v>
      </c>
      <c r="C292" s="16" t="s">
        <v>1693</v>
      </c>
      <c r="D292" s="15" t="s">
        <v>1348</v>
      </c>
      <c r="E292" s="15" t="s">
        <v>1929</v>
      </c>
      <c r="F292" s="15" t="s">
        <v>1874</v>
      </c>
      <c r="G292" t="e">
        <f>VLOOKUP(A292,'ALL Projects'!$A$2:$E$513,2,0)</f>
        <v>#N/A</v>
      </c>
    </row>
    <row r="293" spans="1:7">
      <c r="A293" s="16">
        <v>221000966</v>
      </c>
      <c r="B293" s="16" t="s">
        <v>1505</v>
      </c>
      <c r="C293" s="16" t="s">
        <v>1506</v>
      </c>
      <c r="D293" s="15" t="s">
        <v>1348</v>
      </c>
      <c r="E293" s="15" t="s">
        <v>1929</v>
      </c>
      <c r="F293" s="15" t="s">
        <v>1874</v>
      </c>
      <c r="G293" t="e">
        <f>VLOOKUP(A293,'ALL Projects'!$A$2:$E$513,2,0)</f>
        <v>#N/A</v>
      </c>
    </row>
    <row r="294" spans="1:7">
      <c r="A294" s="16">
        <v>221000544</v>
      </c>
      <c r="B294" s="16" t="s">
        <v>1417</v>
      </c>
      <c r="C294" s="16" t="s">
        <v>1418</v>
      </c>
      <c r="D294" s="15" t="s">
        <v>1348</v>
      </c>
      <c r="E294" s="15" t="s">
        <v>1929</v>
      </c>
      <c r="F294" s="15" t="s">
        <v>1874</v>
      </c>
      <c r="G294" t="e">
        <f>VLOOKUP(A294,'ALL Projects'!$A$2:$E$513,2,0)</f>
        <v>#N/A</v>
      </c>
    </row>
    <row r="295" spans="1:7">
      <c r="A295" s="16">
        <v>221001869</v>
      </c>
      <c r="B295" s="16" t="s">
        <v>1399</v>
      </c>
      <c r="C295" s="16" t="s">
        <v>1400</v>
      </c>
      <c r="D295" s="15" t="s">
        <v>1348</v>
      </c>
      <c r="E295" s="15" t="s">
        <v>1929</v>
      </c>
      <c r="F295" s="15" t="s">
        <v>1874</v>
      </c>
      <c r="G295" t="e">
        <f>VLOOKUP(A295,'ALL Projects'!$A$2:$E$513,2,0)</f>
        <v>#N/A</v>
      </c>
    </row>
    <row r="296" spans="1:7">
      <c r="A296" s="16">
        <v>211001941</v>
      </c>
      <c r="B296" s="16" t="s">
        <v>1713</v>
      </c>
      <c r="C296" s="16" t="s">
        <v>1714</v>
      </c>
      <c r="D296" s="15" t="s">
        <v>1348</v>
      </c>
      <c r="E296" s="15" t="s">
        <v>1929</v>
      </c>
      <c r="F296" s="15" t="s">
        <v>1874</v>
      </c>
      <c r="G296" t="e">
        <f>VLOOKUP(A296,'ALL Projects'!$A$2:$E$513,2,0)</f>
        <v>#N/A</v>
      </c>
    </row>
    <row r="297" spans="1:7">
      <c r="A297" s="16">
        <v>221002144</v>
      </c>
      <c r="B297" s="16" t="s">
        <v>1806</v>
      </c>
      <c r="C297" s="16" t="s">
        <v>1807</v>
      </c>
      <c r="D297" s="15" t="s">
        <v>1348</v>
      </c>
      <c r="E297" s="15" t="s">
        <v>1929</v>
      </c>
      <c r="F297" s="15" t="s">
        <v>1874</v>
      </c>
      <c r="G297" t="e">
        <f>VLOOKUP(A297,'ALL Projects'!$A$2:$E$513,2,0)</f>
        <v>#N/A</v>
      </c>
    </row>
    <row r="298" spans="1:7">
      <c r="A298" s="16">
        <v>221001937</v>
      </c>
      <c r="B298" s="16" t="s">
        <v>1401</v>
      </c>
      <c r="C298" s="16" t="s">
        <v>1402</v>
      </c>
      <c r="D298" s="15" t="s">
        <v>1348</v>
      </c>
      <c r="E298" s="15" t="s">
        <v>1929</v>
      </c>
      <c r="F298" s="15" t="s">
        <v>1874</v>
      </c>
      <c r="G298" t="e">
        <f>VLOOKUP(A298,'ALL Projects'!$A$2:$E$513,2,0)</f>
        <v>#N/A</v>
      </c>
    </row>
    <row r="299" spans="1:7">
      <c r="A299" s="16">
        <v>221001747</v>
      </c>
      <c r="B299" s="16" t="s">
        <v>1569</v>
      </c>
      <c r="C299" s="16" t="s">
        <v>1570</v>
      </c>
      <c r="D299" s="15" t="s">
        <v>1348</v>
      </c>
      <c r="E299" s="15" t="s">
        <v>1929</v>
      </c>
      <c r="F299" s="15" t="s">
        <v>1874</v>
      </c>
      <c r="G299" t="e">
        <f>VLOOKUP(A299,'ALL Projects'!$A$2:$E$513,2,0)</f>
        <v>#N/A</v>
      </c>
    </row>
    <row r="300" spans="1:7">
      <c r="A300" s="16">
        <v>221000960</v>
      </c>
      <c r="B300" s="16" t="s">
        <v>1541</v>
      </c>
      <c r="C300" s="16" t="s">
        <v>1542</v>
      </c>
      <c r="D300" s="15" t="s">
        <v>1348</v>
      </c>
      <c r="E300" s="15" t="s">
        <v>1929</v>
      </c>
      <c r="F300" s="15" t="s">
        <v>1874</v>
      </c>
      <c r="G300" t="e">
        <f>VLOOKUP(A300,'ALL Projects'!$A$2:$E$513,2,0)</f>
        <v>#N/A</v>
      </c>
    </row>
    <row r="301" spans="1:7">
      <c r="A301" s="16">
        <v>221001378</v>
      </c>
      <c r="B301" s="16" t="s">
        <v>1585</v>
      </c>
      <c r="C301" s="16" t="s">
        <v>1586</v>
      </c>
      <c r="D301" s="15" t="s">
        <v>1348</v>
      </c>
      <c r="E301" s="15" t="s">
        <v>1929</v>
      </c>
      <c r="F301" s="15" t="s">
        <v>1874</v>
      </c>
      <c r="G301" t="e">
        <f>VLOOKUP(A301,'ALL Projects'!$A$2:$E$513,2,0)</f>
        <v>#N/A</v>
      </c>
    </row>
    <row r="302" spans="1:7">
      <c r="A302" s="16">
        <v>221001124</v>
      </c>
      <c r="B302" s="16" t="s">
        <v>1621</v>
      </c>
      <c r="C302" s="16" t="s">
        <v>1622</v>
      </c>
      <c r="D302" s="15" t="s">
        <v>1348</v>
      </c>
      <c r="E302" s="15" t="s">
        <v>1929</v>
      </c>
      <c r="F302" s="15" t="s">
        <v>1874</v>
      </c>
      <c r="G302" t="e">
        <f>VLOOKUP(A302,'ALL Projects'!$A$2:$E$513,2,0)</f>
        <v>#N/A</v>
      </c>
    </row>
    <row r="303" spans="1:7">
      <c r="A303" s="16">
        <v>221000681</v>
      </c>
      <c r="B303" s="16" t="s">
        <v>1245</v>
      </c>
      <c r="C303" s="16" t="s">
        <v>1246</v>
      </c>
      <c r="D303" s="15" t="s">
        <v>1348</v>
      </c>
      <c r="E303" s="15" t="s">
        <v>1929</v>
      </c>
      <c r="F303" s="15" t="s">
        <v>1874</v>
      </c>
      <c r="G303" t="e">
        <f>VLOOKUP(A303,'ALL Projects'!$A$2:$E$513,2,0)</f>
        <v>#N/A</v>
      </c>
    </row>
    <row r="304" spans="1:7">
      <c r="A304" s="16">
        <v>221001968</v>
      </c>
      <c r="B304" s="16" t="s">
        <v>1607</v>
      </c>
      <c r="C304" s="16" t="s">
        <v>1608</v>
      </c>
      <c r="D304" s="15" t="s">
        <v>1348</v>
      </c>
      <c r="E304" s="15" t="s">
        <v>1929</v>
      </c>
      <c r="F304" s="15" t="s">
        <v>1874</v>
      </c>
      <c r="G304" t="e">
        <f>VLOOKUP(A304,'ALL Projects'!$A$2:$E$513,2,0)</f>
        <v>#N/A</v>
      </c>
    </row>
    <row r="305" spans="1:7">
      <c r="A305" s="16">
        <v>221000008</v>
      </c>
      <c r="B305" s="16" t="s">
        <v>1495</v>
      </c>
      <c r="C305" s="16" t="s">
        <v>1496</v>
      </c>
      <c r="D305" s="15" t="s">
        <v>1348</v>
      </c>
      <c r="E305" s="15" t="s">
        <v>1929</v>
      </c>
      <c r="F305" s="15" t="s">
        <v>1874</v>
      </c>
      <c r="G305" t="e">
        <f>VLOOKUP(A305,'ALL Projects'!$A$2:$E$513,2,0)</f>
        <v>#N/A</v>
      </c>
    </row>
    <row r="306" spans="1:7">
      <c r="A306" s="16">
        <v>221000776</v>
      </c>
      <c r="B306" s="16" t="s">
        <v>1531</v>
      </c>
      <c r="C306" s="16" t="s">
        <v>1532</v>
      </c>
      <c r="D306" s="15" t="s">
        <v>1348</v>
      </c>
      <c r="E306" s="15" t="s">
        <v>1929</v>
      </c>
      <c r="F306" s="15" t="s">
        <v>1874</v>
      </c>
      <c r="G306" t="e">
        <f>VLOOKUP(A306,'ALL Projects'!$A$2:$E$513,2,0)</f>
        <v>#N/A</v>
      </c>
    </row>
    <row r="307" spans="1:7">
      <c r="A307" s="16">
        <v>221001918</v>
      </c>
      <c r="B307" s="16" t="s">
        <v>1635</v>
      </c>
      <c r="C307" s="16" t="s">
        <v>1636</v>
      </c>
      <c r="D307" s="15" t="s">
        <v>1348</v>
      </c>
      <c r="E307" s="15" t="s">
        <v>1929</v>
      </c>
      <c r="F307" s="15" t="s">
        <v>1874</v>
      </c>
      <c r="G307" t="e">
        <f>VLOOKUP(A307,'ALL Projects'!$A$2:$E$513,2,0)</f>
        <v>#N/A</v>
      </c>
    </row>
    <row r="308" spans="1:7">
      <c r="A308" s="16">
        <v>221001354</v>
      </c>
      <c r="B308" s="16" t="s">
        <v>1445</v>
      </c>
      <c r="C308" s="16" t="s">
        <v>1446</v>
      </c>
      <c r="D308" s="15" t="s">
        <v>1348</v>
      </c>
      <c r="E308" s="15" t="s">
        <v>1929</v>
      </c>
      <c r="F308" s="15" t="s">
        <v>1874</v>
      </c>
      <c r="G308" t="e">
        <f>VLOOKUP(A308,'ALL Projects'!$A$2:$E$513,2,0)</f>
        <v>#N/A</v>
      </c>
    </row>
    <row r="309" spans="1:7">
      <c r="A309" s="16">
        <v>221001983</v>
      </c>
      <c r="B309" s="16" t="s">
        <v>1575</v>
      </c>
      <c r="C309" s="16" t="s">
        <v>1576</v>
      </c>
      <c r="D309" s="15" t="s">
        <v>1348</v>
      </c>
      <c r="E309" s="15" t="s">
        <v>1929</v>
      </c>
      <c r="F309" s="15" t="s">
        <v>1874</v>
      </c>
      <c r="G309" t="e">
        <f>VLOOKUP(A309,'ALL Projects'!$A$2:$E$513,2,0)</f>
        <v>#N/A</v>
      </c>
    </row>
    <row r="310" spans="1:7" ht="28.15">
      <c r="A310" s="16">
        <v>221001284</v>
      </c>
      <c r="B310" s="16" t="s">
        <v>1684</v>
      </c>
      <c r="C310" s="16" t="s">
        <v>1685</v>
      </c>
      <c r="D310" s="15" t="s">
        <v>1348</v>
      </c>
      <c r="E310" s="15" t="s">
        <v>1929</v>
      </c>
      <c r="F310" s="15" t="s">
        <v>1874</v>
      </c>
      <c r="G310" t="e">
        <f>VLOOKUP(A310,'ALL Projects'!$A$2:$E$513,2,0)</f>
        <v>#N/A</v>
      </c>
    </row>
    <row r="311" spans="1:7">
      <c r="A311" s="16">
        <v>221002249</v>
      </c>
      <c r="B311" s="16" t="s">
        <v>1591</v>
      </c>
      <c r="C311" s="16" t="s">
        <v>1592</v>
      </c>
      <c r="D311" s="15" t="s">
        <v>1348</v>
      </c>
      <c r="E311" s="15" t="s">
        <v>1929</v>
      </c>
      <c r="F311" s="15" t="s">
        <v>1874</v>
      </c>
      <c r="G311" t="e">
        <f>VLOOKUP(A311,'ALL Projects'!$A$2:$E$513,2,0)</f>
        <v>#N/A</v>
      </c>
    </row>
    <row r="312" spans="1:7">
      <c r="A312" s="16">
        <v>221000948</v>
      </c>
      <c r="B312" s="16" t="s">
        <v>1437</v>
      </c>
      <c r="C312" s="16" t="s">
        <v>1438</v>
      </c>
      <c r="D312" s="15" t="s">
        <v>1348</v>
      </c>
      <c r="E312" s="15" t="s">
        <v>1929</v>
      </c>
      <c r="F312" s="15" t="s">
        <v>1874</v>
      </c>
      <c r="G312" t="e">
        <f>VLOOKUP(A312,'ALL Projects'!$A$2:$E$513,2,0)</f>
        <v>#N/A</v>
      </c>
    </row>
    <row r="313" spans="1:7">
      <c r="A313" s="16">
        <v>231000125</v>
      </c>
      <c r="B313" s="16" t="s">
        <v>1760</v>
      </c>
      <c r="C313" s="16" t="s">
        <v>1761</v>
      </c>
      <c r="D313" s="15" t="s">
        <v>1348</v>
      </c>
      <c r="E313" s="15" t="s">
        <v>1929</v>
      </c>
      <c r="F313" s="15" t="s">
        <v>1874</v>
      </c>
      <c r="G313" t="e">
        <f>VLOOKUP(A313,'ALL Projects'!$A$2:$E$513,2,0)</f>
        <v>#N/A</v>
      </c>
    </row>
    <row r="314" spans="1:7">
      <c r="A314" s="16">
        <v>221001896</v>
      </c>
      <c r="B314" s="16" t="s">
        <v>1481</v>
      </c>
      <c r="C314" s="16" t="s">
        <v>1482</v>
      </c>
      <c r="D314" s="15" t="s">
        <v>1348</v>
      </c>
      <c r="E314" s="15" t="s">
        <v>1929</v>
      </c>
      <c r="F314" s="15" t="s">
        <v>1874</v>
      </c>
      <c r="G314" t="e">
        <f>VLOOKUP(A314,'ALL Projects'!$A$2:$E$513,2,0)</f>
        <v>#N/A</v>
      </c>
    </row>
    <row r="315" spans="1:7">
      <c r="A315" s="16">
        <v>221001899</v>
      </c>
      <c r="B315" s="16" t="s">
        <v>1571</v>
      </c>
      <c r="C315" s="16" t="s">
        <v>1572</v>
      </c>
      <c r="D315" s="15" t="s">
        <v>1348</v>
      </c>
      <c r="E315" s="15" t="s">
        <v>1929</v>
      </c>
      <c r="F315" s="15" t="s">
        <v>1874</v>
      </c>
      <c r="G315" t="e">
        <f>VLOOKUP(A315,'ALL Projects'!$A$2:$E$513,2,0)</f>
        <v>#N/A</v>
      </c>
    </row>
    <row r="316" spans="1:7">
      <c r="A316" s="16">
        <v>221000471</v>
      </c>
      <c r="B316" s="16" t="s">
        <v>1946</v>
      </c>
      <c r="C316" s="16" t="s">
        <v>1289</v>
      </c>
      <c r="D316" s="15" t="s">
        <v>1348</v>
      </c>
      <c r="E316" s="15" t="s">
        <v>1929</v>
      </c>
      <c r="F316" s="15" t="s">
        <v>1874</v>
      </c>
      <c r="G316" t="e">
        <f>VLOOKUP(A316,'ALL Projects'!$A$2:$E$513,2,0)</f>
        <v>#N/A</v>
      </c>
    </row>
    <row r="317" spans="1:7">
      <c r="A317" s="16">
        <v>221001842</v>
      </c>
      <c r="B317" s="16" t="s">
        <v>1721</v>
      </c>
      <c r="C317" s="16" t="s">
        <v>1722</v>
      </c>
      <c r="D317" s="15" t="s">
        <v>1348</v>
      </c>
      <c r="E317" s="15" t="s">
        <v>1929</v>
      </c>
      <c r="F317" s="15" t="s">
        <v>1874</v>
      </c>
      <c r="G317" t="e">
        <f>VLOOKUP(A317,'ALL Projects'!$A$2:$E$513,2,0)</f>
        <v>#N/A</v>
      </c>
    </row>
    <row r="318" spans="1:7">
      <c r="A318" s="16">
        <v>221001775</v>
      </c>
      <c r="B318" s="16" t="s">
        <v>1469</v>
      </c>
      <c r="C318" s="16" t="s">
        <v>1470</v>
      </c>
      <c r="D318" s="15" t="s">
        <v>1348</v>
      </c>
      <c r="E318" s="15" t="s">
        <v>1929</v>
      </c>
      <c r="F318" s="15" t="s">
        <v>1874</v>
      </c>
      <c r="G318" t="e">
        <f>VLOOKUP(A318,'ALL Projects'!$A$2:$E$513,2,0)</f>
        <v>#N/A</v>
      </c>
    </row>
    <row r="319" spans="1:7">
      <c r="A319" s="16">
        <v>221001862</v>
      </c>
      <c r="B319" s="16" t="s">
        <v>1742</v>
      </c>
      <c r="C319" s="16" t="s">
        <v>1743</v>
      </c>
      <c r="D319" s="15" t="s">
        <v>1348</v>
      </c>
      <c r="E319" s="15" t="s">
        <v>1929</v>
      </c>
      <c r="F319" s="15" t="s">
        <v>1874</v>
      </c>
      <c r="G319" t="e">
        <f>VLOOKUP(A319,'ALL Projects'!$A$2:$E$513,2,0)</f>
        <v>#N/A</v>
      </c>
    </row>
    <row r="320" spans="1:7">
      <c r="A320" s="16">
        <v>221000189</v>
      </c>
      <c r="B320" s="16" t="s">
        <v>1369</v>
      </c>
      <c r="C320" s="16" t="s">
        <v>1370</v>
      </c>
      <c r="D320" s="15" t="s">
        <v>1348</v>
      </c>
      <c r="E320" s="15" t="s">
        <v>1929</v>
      </c>
      <c r="F320" s="15" t="s">
        <v>1874</v>
      </c>
      <c r="G320" t="e">
        <f>VLOOKUP(A320,'ALL Projects'!$A$2:$E$513,2,0)</f>
        <v>#N/A</v>
      </c>
    </row>
    <row r="321" spans="1:7">
      <c r="A321" s="16">
        <v>221000056</v>
      </c>
      <c r="B321" s="16" t="s">
        <v>1411</v>
      </c>
      <c r="C321" s="16" t="s">
        <v>1412</v>
      </c>
      <c r="D321" s="15" t="s">
        <v>1348</v>
      </c>
      <c r="E321" s="15" t="s">
        <v>1929</v>
      </c>
      <c r="F321" s="15" t="s">
        <v>1874</v>
      </c>
      <c r="G321" t="e">
        <f>VLOOKUP(A321,'ALL Projects'!$A$2:$E$513,2,0)</f>
        <v>#N/A</v>
      </c>
    </row>
    <row r="322" spans="1:7">
      <c r="A322" s="16">
        <v>221001995</v>
      </c>
      <c r="B322" s="16" t="s">
        <v>1637</v>
      </c>
      <c r="C322" s="16" t="s">
        <v>1638</v>
      </c>
      <c r="D322" s="15" t="s">
        <v>1348</v>
      </c>
      <c r="E322" s="15" t="s">
        <v>1929</v>
      </c>
      <c r="F322" s="15" t="s">
        <v>1874</v>
      </c>
      <c r="G322" t="e">
        <f>VLOOKUP(A322,'ALL Projects'!$A$2:$E$513,2,0)</f>
        <v>#N/A</v>
      </c>
    </row>
    <row r="323" spans="1:7">
      <c r="A323" s="16">
        <v>221000750</v>
      </c>
      <c r="B323" s="16" t="s">
        <v>1717</v>
      </c>
      <c r="C323" s="16" t="s">
        <v>1718</v>
      </c>
      <c r="D323" s="15" t="s">
        <v>1348</v>
      </c>
      <c r="E323" s="15" t="s">
        <v>1929</v>
      </c>
      <c r="F323" s="15" t="s">
        <v>1874</v>
      </c>
      <c r="G323" t="e">
        <f>VLOOKUP(A323,'ALL Projects'!$A$2:$E$513,2,0)</f>
        <v>#N/A</v>
      </c>
    </row>
    <row r="324" spans="1:7">
      <c r="A324" s="16">
        <v>221001623</v>
      </c>
      <c r="B324" s="16" t="s">
        <v>1407</v>
      </c>
      <c r="C324" s="16" t="s">
        <v>1408</v>
      </c>
      <c r="D324" s="15" t="s">
        <v>1348</v>
      </c>
      <c r="E324" s="15" t="s">
        <v>1929</v>
      </c>
      <c r="F324" s="15" t="s">
        <v>1874</v>
      </c>
      <c r="G324" t="e">
        <f>VLOOKUP(A324,'ALL Projects'!$A$2:$E$513,2,0)</f>
        <v>#N/A</v>
      </c>
    </row>
    <row r="325" spans="1:7">
      <c r="A325" s="16">
        <v>221001982</v>
      </c>
      <c r="B325" s="16" t="s">
        <v>1589</v>
      </c>
      <c r="C325" s="16" t="s">
        <v>1590</v>
      </c>
      <c r="D325" s="15" t="s">
        <v>1348</v>
      </c>
      <c r="E325" s="15" t="s">
        <v>1929</v>
      </c>
      <c r="F325" s="15" t="s">
        <v>1874</v>
      </c>
      <c r="G325" t="e">
        <f>VLOOKUP(A325,'ALL Projects'!$A$2:$E$513,2,0)</f>
        <v>#N/A</v>
      </c>
    </row>
    <row r="326" spans="1:7">
      <c r="A326" s="16">
        <v>221000539</v>
      </c>
      <c r="B326" s="16" t="s">
        <v>1499</v>
      </c>
      <c r="C326" s="16" t="s">
        <v>1500</v>
      </c>
      <c r="D326" s="15" t="s">
        <v>1348</v>
      </c>
      <c r="E326" s="15" t="s">
        <v>1929</v>
      </c>
      <c r="F326" s="15" t="s">
        <v>1874</v>
      </c>
      <c r="G326" t="e">
        <f>VLOOKUP(A326,'ALL Projects'!$A$2:$E$513,2,0)</f>
        <v>#N/A</v>
      </c>
    </row>
    <row r="327" spans="1:7">
      <c r="A327" s="16">
        <v>221001447</v>
      </c>
      <c r="B327" s="16" t="s">
        <v>1686</v>
      </c>
      <c r="C327" s="16" t="s">
        <v>1687</v>
      </c>
      <c r="D327" s="15" t="s">
        <v>1348</v>
      </c>
      <c r="E327" s="15" t="s">
        <v>1929</v>
      </c>
      <c r="F327" s="15" t="s">
        <v>1874</v>
      </c>
      <c r="G327" t="e">
        <f>VLOOKUP(A327,'ALL Projects'!$A$2:$E$513,2,0)</f>
        <v>#N/A</v>
      </c>
    </row>
    <row r="328" spans="1:7">
      <c r="A328" s="16">
        <v>221002170</v>
      </c>
      <c r="B328" s="16" t="s">
        <v>1643</v>
      </c>
      <c r="C328" s="16" t="s">
        <v>1644</v>
      </c>
      <c r="D328" s="15" t="s">
        <v>1348</v>
      </c>
      <c r="E328" s="15" t="s">
        <v>1929</v>
      </c>
      <c r="F328" s="15" t="s">
        <v>1874</v>
      </c>
      <c r="G328" t="e">
        <f>VLOOKUP(A328,'ALL Projects'!$A$2:$E$513,2,0)</f>
        <v>#N/A</v>
      </c>
    </row>
    <row r="329" spans="1:7">
      <c r="A329" s="16">
        <v>221001480</v>
      </c>
      <c r="B329" s="16" t="s">
        <v>1363</v>
      </c>
      <c r="C329" s="16" t="s">
        <v>1364</v>
      </c>
      <c r="D329" s="15" t="s">
        <v>1348</v>
      </c>
      <c r="E329" s="15" t="s">
        <v>1929</v>
      </c>
      <c r="F329" s="15" t="s">
        <v>1874</v>
      </c>
      <c r="G329" t="e">
        <f>VLOOKUP(A329,'ALL Projects'!$A$2:$E$513,2,0)</f>
        <v>#N/A</v>
      </c>
    </row>
    <row r="330" spans="1:7">
      <c r="A330" s="16">
        <v>221001153</v>
      </c>
      <c r="B330" s="16" t="s">
        <v>1766</v>
      </c>
      <c r="C330" s="16" t="s">
        <v>1767</v>
      </c>
      <c r="D330" s="15" t="s">
        <v>1348</v>
      </c>
      <c r="E330" s="15" t="s">
        <v>1929</v>
      </c>
      <c r="F330" s="15" t="s">
        <v>1874</v>
      </c>
      <c r="G330" t="e">
        <f>VLOOKUP(A330,'ALL Projects'!$A$2:$E$513,2,0)</f>
        <v>#N/A</v>
      </c>
    </row>
    <row r="331" spans="1:7">
      <c r="A331" s="15">
        <v>221000471</v>
      </c>
      <c r="B331" s="15" t="s">
        <v>1946</v>
      </c>
      <c r="C331" s="15" t="s">
        <v>1289</v>
      </c>
      <c r="D331" s="15" t="s">
        <v>1348</v>
      </c>
      <c r="E331" s="15" t="s">
        <v>1929</v>
      </c>
      <c r="F331" s="15" t="s">
        <v>1874</v>
      </c>
      <c r="G331" t="e">
        <f>VLOOKUP(A331,'ALL Projects'!$A$2:$E$513,2,0)</f>
        <v>#N/A</v>
      </c>
    </row>
    <row r="332" spans="1:7">
      <c r="A332" s="15">
        <v>221000911</v>
      </c>
      <c r="B332" s="15" t="s">
        <v>1539</v>
      </c>
      <c r="C332" s="15" t="s">
        <v>1540</v>
      </c>
      <c r="D332" s="15" t="s">
        <v>1348</v>
      </c>
      <c r="E332" s="15" t="s">
        <v>1929</v>
      </c>
      <c r="F332" s="15" t="s">
        <v>1874</v>
      </c>
      <c r="G332" t="e">
        <f>VLOOKUP(A332,'ALL Projects'!$A$2:$E$513,2,0)</f>
        <v>#N/A</v>
      </c>
    </row>
    <row r="333" spans="1:7">
      <c r="A333" s="15">
        <v>221001842</v>
      </c>
      <c r="B333" s="15" t="s">
        <v>1721</v>
      </c>
      <c r="C333" s="15" t="s">
        <v>1722</v>
      </c>
      <c r="D333" s="15" t="s">
        <v>1348</v>
      </c>
      <c r="E333" s="15" t="s">
        <v>1929</v>
      </c>
      <c r="F333" s="15" t="s">
        <v>1874</v>
      </c>
      <c r="G333" t="e">
        <f>VLOOKUP(A333,'ALL Projects'!$A$2:$E$513,2,0)</f>
        <v>#N/A</v>
      </c>
    </row>
    <row r="334" spans="1:7">
      <c r="A334" s="15">
        <v>221001775</v>
      </c>
      <c r="B334" s="15" t="s">
        <v>1469</v>
      </c>
      <c r="C334" s="15" t="s">
        <v>1470</v>
      </c>
      <c r="D334" s="15" t="s">
        <v>1348</v>
      </c>
      <c r="E334" s="15" t="s">
        <v>1929</v>
      </c>
      <c r="F334" s="15" t="s">
        <v>1874</v>
      </c>
      <c r="G334" t="e">
        <f>VLOOKUP(A334,'ALL Projects'!$A$2:$E$513,2,0)</f>
        <v>#N/A</v>
      </c>
    </row>
    <row r="335" spans="1:7">
      <c r="A335" s="15">
        <v>221001862</v>
      </c>
      <c r="B335" s="15" t="s">
        <v>1742</v>
      </c>
      <c r="C335" s="15" t="s">
        <v>1743</v>
      </c>
      <c r="D335" s="15" t="s">
        <v>1348</v>
      </c>
      <c r="E335" s="15" t="s">
        <v>1929</v>
      </c>
      <c r="F335" s="15" t="s">
        <v>1874</v>
      </c>
      <c r="G335" t="e">
        <f>VLOOKUP(A335,'ALL Projects'!$A$2:$E$513,2,0)</f>
        <v>#N/A</v>
      </c>
    </row>
    <row r="336" spans="1:7">
      <c r="A336" s="15">
        <v>221000189</v>
      </c>
      <c r="B336" s="15" t="s">
        <v>1369</v>
      </c>
      <c r="C336" s="15" t="s">
        <v>1370</v>
      </c>
      <c r="D336" s="15" t="s">
        <v>1348</v>
      </c>
      <c r="E336" s="15" t="s">
        <v>1929</v>
      </c>
      <c r="F336" s="15" t="s">
        <v>1874</v>
      </c>
      <c r="G336" t="e">
        <f>VLOOKUP(A336,'ALL Projects'!$A$2:$E$513,2,0)</f>
        <v>#N/A</v>
      </c>
    </row>
    <row r="337" spans="1:7">
      <c r="A337" s="15">
        <v>221000056</v>
      </c>
      <c r="B337" s="15" t="s">
        <v>1411</v>
      </c>
      <c r="C337" s="15" t="s">
        <v>1412</v>
      </c>
      <c r="D337" s="15" t="s">
        <v>1348</v>
      </c>
      <c r="E337" s="15" t="s">
        <v>1929</v>
      </c>
      <c r="F337" s="15" t="s">
        <v>1874</v>
      </c>
      <c r="G337" t="e">
        <f>VLOOKUP(A337,'ALL Projects'!$A$2:$E$513,2,0)</f>
        <v>#N/A</v>
      </c>
    </row>
    <row r="338" spans="1:7">
      <c r="A338" s="15">
        <v>221001995</v>
      </c>
      <c r="B338" s="15" t="s">
        <v>1637</v>
      </c>
      <c r="C338" s="15" t="s">
        <v>1638</v>
      </c>
      <c r="D338" s="15" t="s">
        <v>1348</v>
      </c>
      <c r="E338" s="15" t="s">
        <v>1929</v>
      </c>
      <c r="F338" s="15" t="s">
        <v>1874</v>
      </c>
      <c r="G338" t="e">
        <f>VLOOKUP(A338,'ALL Projects'!$A$2:$E$513,2,0)</f>
        <v>#N/A</v>
      </c>
    </row>
    <row r="339" spans="1:7">
      <c r="A339" s="15">
        <v>221000750</v>
      </c>
      <c r="B339" s="15" t="s">
        <v>1717</v>
      </c>
      <c r="C339" s="15" t="s">
        <v>1718</v>
      </c>
      <c r="D339" s="15" t="s">
        <v>1348</v>
      </c>
      <c r="E339" s="15" t="s">
        <v>1929</v>
      </c>
      <c r="F339" s="15" t="s">
        <v>1874</v>
      </c>
      <c r="G339" t="e">
        <f>VLOOKUP(A339,'ALL Projects'!$A$2:$E$513,2,0)</f>
        <v>#N/A</v>
      </c>
    </row>
    <row r="340" spans="1:7">
      <c r="A340" s="15">
        <v>221001623</v>
      </c>
      <c r="B340" s="15" t="s">
        <v>1407</v>
      </c>
      <c r="C340" s="15" t="s">
        <v>1408</v>
      </c>
      <c r="D340" s="15" t="s">
        <v>1348</v>
      </c>
      <c r="E340" s="15" t="s">
        <v>1929</v>
      </c>
      <c r="F340" s="15" t="s">
        <v>1874</v>
      </c>
      <c r="G340" t="e">
        <f>VLOOKUP(A340,'ALL Projects'!$A$2:$E$513,2,0)</f>
        <v>#N/A</v>
      </c>
    </row>
    <row r="341" spans="1:7">
      <c r="A341" s="15">
        <v>221001982</v>
      </c>
      <c r="B341" s="15" t="s">
        <v>1589</v>
      </c>
      <c r="C341" s="15" t="s">
        <v>1590</v>
      </c>
      <c r="D341" s="15" t="s">
        <v>1348</v>
      </c>
      <c r="E341" s="15" t="s">
        <v>1929</v>
      </c>
      <c r="F341" s="15" t="s">
        <v>1874</v>
      </c>
      <c r="G341" t="e">
        <f>VLOOKUP(A341,'ALL Projects'!$A$2:$E$513,2,0)</f>
        <v>#N/A</v>
      </c>
    </row>
    <row r="342" spans="1:7">
      <c r="A342" s="15">
        <v>221000539</v>
      </c>
      <c r="B342" s="15" t="s">
        <v>1499</v>
      </c>
      <c r="C342" s="15" t="s">
        <v>1500</v>
      </c>
      <c r="D342" s="15" t="s">
        <v>1348</v>
      </c>
      <c r="E342" s="15" t="s">
        <v>1929</v>
      </c>
      <c r="F342" s="15" t="s">
        <v>1874</v>
      </c>
      <c r="G342" t="e">
        <f>VLOOKUP(A342,'ALL Projects'!$A$2:$E$513,2,0)</f>
        <v>#N/A</v>
      </c>
    </row>
    <row r="343" spans="1:7">
      <c r="A343" s="15">
        <v>221001447</v>
      </c>
      <c r="B343" s="15" t="s">
        <v>1686</v>
      </c>
      <c r="C343" s="15" t="s">
        <v>1687</v>
      </c>
      <c r="D343" s="15" t="s">
        <v>1348</v>
      </c>
      <c r="E343" s="15" t="s">
        <v>1929</v>
      </c>
      <c r="F343" s="15" t="s">
        <v>1874</v>
      </c>
      <c r="G343" t="e">
        <f>VLOOKUP(A343,'ALL Projects'!$A$2:$E$513,2,0)</f>
        <v>#N/A</v>
      </c>
    </row>
    <row r="344" spans="1:7">
      <c r="A344" s="15">
        <v>221002170</v>
      </c>
      <c r="B344" s="15" t="s">
        <v>1643</v>
      </c>
      <c r="C344" s="15" t="s">
        <v>1644</v>
      </c>
      <c r="D344" s="15" t="s">
        <v>1348</v>
      </c>
      <c r="E344" s="15" t="s">
        <v>1929</v>
      </c>
      <c r="F344" s="15" t="s">
        <v>1874</v>
      </c>
      <c r="G344" t="e">
        <f>VLOOKUP(A344,'ALL Projects'!$A$2:$E$513,2,0)</f>
        <v>#N/A</v>
      </c>
    </row>
    <row r="345" spans="1:7">
      <c r="A345" s="15">
        <v>221001480</v>
      </c>
      <c r="B345" s="15" t="s">
        <v>1363</v>
      </c>
      <c r="C345" s="15" t="s">
        <v>1364</v>
      </c>
      <c r="D345" s="15" t="s">
        <v>1348</v>
      </c>
      <c r="E345" s="15" t="s">
        <v>1929</v>
      </c>
      <c r="F345" s="15" t="s">
        <v>1874</v>
      </c>
      <c r="G345" t="e">
        <f>VLOOKUP(A345,'ALL Projects'!$A$2:$E$513,2,0)</f>
        <v>#N/A</v>
      </c>
    </row>
    <row r="346" spans="1:7">
      <c r="A346" s="15">
        <v>221001153</v>
      </c>
      <c r="B346" s="15" t="s">
        <v>1766</v>
      </c>
      <c r="C346" s="15" t="s">
        <v>1767</v>
      </c>
      <c r="D346" s="15" t="s">
        <v>1348</v>
      </c>
      <c r="E346" s="15" t="s">
        <v>1929</v>
      </c>
      <c r="F346" s="15" t="s">
        <v>1874</v>
      </c>
      <c r="G346" t="e">
        <f>VLOOKUP(A346,'ALL Projects'!$A$2:$E$513,2,0)</f>
        <v>#N/A</v>
      </c>
    </row>
    <row r="347" spans="1:7">
      <c r="A347" s="17">
        <v>211002035</v>
      </c>
      <c r="B347" s="17" t="s">
        <v>1947</v>
      </c>
      <c r="C347" s="17" t="s">
        <v>1948</v>
      </c>
      <c r="D347" s="17" t="s">
        <v>1348</v>
      </c>
      <c r="E347" s="17" t="s">
        <v>1949</v>
      </c>
      <c r="F347" s="17" t="s">
        <v>1874</v>
      </c>
      <c r="G347" t="e">
        <f>VLOOKUP(A347,'ALL Projects'!$A$2:$E$513,2,0)</f>
        <v>#N/A</v>
      </c>
    </row>
    <row r="348" spans="1:7">
      <c r="A348" s="17">
        <v>1710874</v>
      </c>
      <c r="B348" s="17" t="s">
        <v>1950</v>
      </c>
      <c r="C348" s="17" t="s">
        <v>1951</v>
      </c>
      <c r="D348" s="17" t="s">
        <v>1348</v>
      </c>
      <c r="E348" s="17" t="s">
        <v>1949</v>
      </c>
      <c r="F348" s="17" t="s">
        <v>1874</v>
      </c>
      <c r="G348" t="e">
        <f>VLOOKUP(A348,'ALL Projects'!$A$2:$E$513,2,0)</f>
        <v>#N/A</v>
      </c>
    </row>
    <row r="349" spans="1:7">
      <c r="A349" s="17">
        <v>212002404</v>
      </c>
      <c r="B349" s="17" t="s">
        <v>1952</v>
      </c>
      <c r="C349" s="17" t="s">
        <v>1953</v>
      </c>
      <c r="D349" s="17" t="s">
        <v>1348</v>
      </c>
      <c r="E349" s="17" t="s">
        <v>1949</v>
      </c>
      <c r="F349" s="17" t="s">
        <v>1874</v>
      </c>
      <c r="G349" t="e">
        <f>VLOOKUP(A349,'ALL Projects'!$A$2:$E$513,2,0)</f>
        <v>#N/A</v>
      </c>
    </row>
    <row r="350" spans="1:7">
      <c r="A350" s="17">
        <v>212002444</v>
      </c>
      <c r="B350" s="17" t="s">
        <v>1954</v>
      </c>
      <c r="C350" s="17" t="s">
        <v>1955</v>
      </c>
      <c r="D350" s="17" t="s">
        <v>1348</v>
      </c>
      <c r="E350" s="17" t="s">
        <v>1949</v>
      </c>
      <c r="F350" s="17" t="s">
        <v>1874</v>
      </c>
      <c r="G350" t="e">
        <f>VLOOKUP(A350,'ALL Projects'!$A$2:$E$513,2,0)</f>
        <v>#N/A</v>
      </c>
    </row>
    <row r="351" spans="1:7">
      <c r="A351" s="17">
        <v>212002364</v>
      </c>
      <c r="B351" s="17" t="s">
        <v>1956</v>
      </c>
      <c r="C351" s="17" t="s">
        <v>1957</v>
      </c>
      <c r="D351" s="17" t="s">
        <v>1348</v>
      </c>
      <c r="E351" s="17" t="s">
        <v>1949</v>
      </c>
      <c r="F351" s="17" t="s">
        <v>1874</v>
      </c>
      <c r="G351" t="e">
        <f>VLOOKUP(A351,'ALL Projects'!$A$2:$E$513,2,0)</f>
        <v>#N/A</v>
      </c>
    </row>
    <row r="352" spans="1:7">
      <c r="A352" s="17">
        <v>211002249</v>
      </c>
      <c r="B352" s="17" t="s">
        <v>1958</v>
      </c>
      <c r="C352" s="17" t="s">
        <v>1959</v>
      </c>
      <c r="D352" s="17" t="s">
        <v>1348</v>
      </c>
      <c r="E352" s="17" t="s">
        <v>1949</v>
      </c>
      <c r="F352" s="17" t="s">
        <v>1874</v>
      </c>
      <c r="G352" t="e">
        <f>VLOOKUP(A352,'ALL Projects'!$A$2:$E$513,2,0)</f>
        <v>#N/A</v>
      </c>
    </row>
    <row r="353" spans="1:7">
      <c r="A353" s="17">
        <v>212002286</v>
      </c>
      <c r="B353" s="17" t="s">
        <v>1960</v>
      </c>
      <c r="C353" s="17" t="s">
        <v>1961</v>
      </c>
      <c r="D353" s="17" t="s">
        <v>1348</v>
      </c>
      <c r="E353" s="17" t="s">
        <v>1949</v>
      </c>
      <c r="F353" s="17" t="s">
        <v>1874</v>
      </c>
      <c r="G353" t="e">
        <f>VLOOKUP(A353,'ALL Projects'!$A$2:$E$513,2,0)</f>
        <v>#N/A</v>
      </c>
    </row>
    <row r="354" spans="1:7">
      <c r="A354" s="17">
        <v>1711040</v>
      </c>
      <c r="B354" s="17" t="s">
        <v>1962</v>
      </c>
      <c r="C354" s="17" t="s">
        <v>1963</v>
      </c>
      <c r="D354" s="17" t="s">
        <v>1348</v>
      </c>
      <c r="E354" s="17" t="s">
        <v>1949</v>
      </c>
      <c r="F354" s="17" t="s">
        <v>1874</v>
      </c>
      <c r="G354" t="e">
        <f>VLOOKUP(A354,'ALL Projects'!$A$2:$E$513,2,0)</f>
        <v>#N/A</v>
      </c>
    </row>
    <row r="355" spans="1:7">
      <c r="A355" s="17">
        <v>221000369</v>
      </c>
      <c r="B355" s="17" t="s">
        <v>1964</v>
      </c>
      <c r="C355" s="17" t="s">
        <v>1965</v>
      </c>
      <c r="D355" s="17" t="s">
        <v>1348</v>
      </c>
      <c r="E355" s="17" t="s">
        <v>1949</v>
      </c>
      <c r="F355" s="17" t="s">
        <v>1874</v>
      </c>
      <c r="G355" t="e">
        <f>VLOOKUP(A355,'ALL Projects'!$A$2:$E$513,2,0)</f>
        <v>#N/A</v>
      </c>
    </row>
    <row r="356" spans="1:7">
      <c r="A356" s="17">
        <v>212002413</v>
      </c>
      <c r="B356" s="17" t="s">
        <v>1966</v>
      </c>
      <c r="C356" s="17" t="s">
        <v>1967</v>
      </c>
      <c r="D356" s="17" t="s">
        <v>1348</v>
      </c>
      <c r="E356" s="17" t="s">
        <v>1949</v>
      </c>
      <c r="F356" s="17" t="s">
        <v>1874</v>
      </c>
      <c r="G356" t="e">
        <f>VLOOKUP(A356,'ALL Projects'!$A$2:$E$513,2,0)</f>
        <v>#N/A</v>
      </c>
    </row>
    <row r="357" spans="1:7">
      <c r="A357" s="17">
        <v>202001597</v>
      </c>
      <c r="B357" s="17" t="s">
        <v>1968</v>
      </c>
      <c r="C357" s="17" t="s">
        <v>1969</v>
      </c>
      <c r="D357" s="17" t="s">
        <v>1348</v>
      </c>
      <c r="E357" s="17" t="s">
        <v>1949</v>
      </c>
      <c r="F357" s="17" t="s">
        <v>1874</v>
      </c>
      <c r="G357" t="e">
        <f>VLOOKUP(A357,'ALL Projects'!$A$2:$E$513,2,0)</f>
        <v>#N/A</v>
      </c>
    </row>
    <row r="358" spans="1:7">
      <c r="A358" s="17">
        <v>211000720</v>
      </c>
      <c r="B358" s="17" t="s">
        <v>1970</v>
      </c>
      <c r="C358" s="17" t="s">
        <v>1971</v>
      </c>
      <c r="D358" s="17" t="s">
        <v>1348</v>
      </c>
      <c r="E358" s="17" t="s">
        <v>1949</v>
      </c>
      <c r="F358" s="17" t="s">
        <v>1874</v>
      </c>
      <c r="G358" t="e">
        <f>VLOOKUP(A358,'ALL Projects'!$A$2:$E$513,2,0)</f>
        <v>#N/A</v>
      </c>
    </row>
    <row r="359" spans="1:7">
      <c r="A359" s="17">
        <v>202001281</v>
      </c>
      <c r="B359" s="17" t="s">
        <v>1972</v>
      </c>
      <c r="C359" s="17" t="s">
        <v>1973</v>
      </c>
      <c r="D359" s="17" t="s">
        <v>1348</v>
      </c>
      <c r="E359" s="17" t="s">
        <v>1949</v>
      </c>
      <c r="F359" s="17" t="s">
        <v>1874</v>
      </c>
      <c r="G359" t="e">
        <f>VLOOKUP(A359,'ALL Projects'!$A$2:$E$513,2,0)</f>
        <v>#N/A</v>
      </c>
    </row>
    <row r="360" spans="1:7">
      <c r="A360" s="17">
        <v>202001624</v>
      </c>
      <c r="B360" s="17" t="s">
        <v>1974</v>
      </c>
      <c r="C360" s="17" t="s">
        <v>1975</v>
      </c>
      <c r="D360" s="17" t="s">
        <v>1348</v>
      </c>
      <c r="E360" s="17" t="s">
        <v>1949</v>
      </c>
      <c r="F360" s="17" t="s">
        <v>1874</v>
      </c>
      <c r="G360" t="e">
        <f>VLOOKUP(A360,'ALL Projects'!$A$2:$E$513,2,0)</f>
        <v>#N/A</v>
      </c>
    </row>
  </sheetData>
  <sortState xmlns:xlrd2="http://schemas.microsoft.com/office/spreadsheetml/2017/richdata2" ref="A2:F360">
    <sortCondition ref="E2:E360"/>
  </sortState>
  <hyperlinks>
    <hyperlink ref="C92" r:id="rId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Islam</dc:creator>
  <cp:keywords/>
  <dc:description/>
  <cp:lastModifiedBy/>
  <cp:revision/>
  <dcterms:created xsi:type="dcterms:W3CDTF">2024-05-12T17:05:26Z</dcterms:created>
  <dcterms:modified xsi:type="dcterms:W3CDTF">2026-08-05T20:00:35Z</dcterms:modified>
  <cp:category/>
  <cp:contentStatus/>
</cp:coreProperties>
</file>